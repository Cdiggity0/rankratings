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eronyoung/Desktop/rankratings:/data/"/>
    </mc:Choice>
  </mc:AlternateContent>
  <xr:revisionPtr revIDLastSave="0" documentId="13_ncr:1_{952C0ACE-CF7D-FA40-9C38-34F52E101DFA}" xr6:coauthVersionLast="47" xr6:coauthVersionMax="47" xr10:uidLastSave="{00000000-0000-0000-0000-000000000000}"/>
  <bookViews>
    <workbookView xWindow="0" yWindow="740" windowWidth="30240" windowHeight="18900" xr2:uid="{63502F5A-9950-074D-B0A2-89EF4471630B}"/>
  </bookViews>
  <sheets>
    <sheet name="Tacoma Day 1" sheetId="2" r:id="rId1"/>
    <sheet name="Billings Day 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11" i="1"/>
  <c r="Q43" i="1"/>
  <c r="Q29" i="1"/>
  <c r="Q22" i="1"/>
  <c r="Q21" i="1"/>
  <c r="Q35" i="1"/>
  <c r="Q34" i="1"/>
  <c r="Q32" i="1"/>
  <c r="Q37" i="1"/>
  <c r="Q42" i="1"/>
  <c r="Q18" i="1"/>
  <c r="Q27" i="1"/>
  <c r="Q25" i="1"/>
  <c r="Q39" i="1"/>
  <c r="Q23" i="1"/>
  <c r="Q28" i="1"/>
  <c r="Q13" i="1"/>
  <c r="Q40" i="1"/>
  <c r="Q24" i="1"/>
  <c r="Q30" i="1"/>
  <c r="Q36" i="1"/>
  <c r="Q44" i="1"/>
  <c r="Q20" i="1"/>
  <c r="Q15" i="1"/>
  <c r="Q33" i="1"/>
  <c r="Q31" i="1"/>
  <c r="Q41" i="1"/>
  <c r="Q38" i="1"/>
  <c r="Q17" i="1"/>
  <c r="R8" i="1"/>
  <c r="R9" i="1"/>
  <c r="Q4" i="1"/>
  <c r="R4" i="1"/>
</calcChain>
</file>

<file path=xl/sharedStrings.xml><?xml version="1.0" encoding="utf-8"?>
<sst xmlns="http://schemas.openxmlformats.org/spreadsheetml/2006/main" count="1057" uniqueCount="506">
  <si>
    <t>Bull Power</t>
  </si>
  <si>
    <t>Advantage</t>
  </si>
  <si>
    <t>Total</t>
  </si>
  <si>
    <t>Number</t>
  </si>
  <si>
    <t>Bull Record</t>
  </si>
  <si>
    <t>Bull Name</t>
  </si>
  <si>
    <t>ABBI</t>
  </si>
  <si>
    <t>Stock Contractor</t>
  </si>
  <si>
    <t>Event</t>
  </si>
  <si>
    <t>Section</t>
  </si>
  <si>
    <t>Bull Rider</t>
  </si>
  <si>
    <t>Ride Probability (confidence</t>
  </si>
  <si>
    <t>Link to matchup</t>
  </si>
  <si>
    <t>Riding Hand</t>
  </si>
  <si>
    <t>Bull Direction</t>
  </si>
  <si>
    <t>Notes</t>
  </si>
  <si>
    <t>Bull Score</t>
  </si>
  <si>
    <t>Rider Score</t>
  </si>
  <si>
    <t>Post Ride Notes</t>
  </si>
  <si>
    <t>Pick</t>
  </si>
  <si>
    <t>20-6 (3)</t>
  </si>
  <si>
    <t>933G Gene's Best(52839)</t>
  </si>
  <si>
    <t>BMJM</t>
  </si>
  <si>
    <t>UTB-BILL</t>
  </si>
  <si>
    <t>Jess Lockwood</t>
  </si>
  <si>
    <t>0.448 (10)</t>
  </si>
  <si>
    <t>match</t>
  </si>
  <si>
    <t>Left</t>
  </si>
  <si>
    <t>Rider 49.00%</t>
  </si>
  <si>
    <t>LEFT</t>
  </si>
  <si>
    <t>&lt;h2&gt;Rider&lt;/h2&gt;
&lt;p&gt;&lt;strong&gt;Career:&amp;nbsp;&lt;/strong&gt;Career: 266 for 550 - &lt;span style="color: #ff0000;"&gt;&lt;em&gt;48.36%&lt;/em&gt;&lt;/span&gt; - Rider Rating: *.408&lt;/p&gt;
&lt;p&gt;&lt;strong&gt;Season:&amp;nbsp;&lt;/strong&gt;Rank&amp;nbsp;&lt;span style="color: #ff0000;"&gt;22&lt;/span&gt; (18 for 39 - &lt;em&gt;46.2%&lt;/em&gt;)&lt;em&gt;&lt;br /&gt;&lt;/em&gt;&lt;/p&gt;
&lt;p&gt;&lt;strong&gt;Points:&amp;nbsp;&lt;/strong&gt;236.00 pts &lt;span style="color: #ff0000;"&gt;&lt;em&gt;(-591.5)&lt;/em&gt;&lt;/span&gt;&lt;/p&gt;
&lt;p&gt;&lt;strong&gt;Earnings:&amp;nbsp;&lt;/strong&gt;&lt;span style="color: #008000;"&gt;&lt;em&gt;$222,292.06&lt;/em&gt;&lt;/span&gt;&lt;/p&gt;
&lt;p&gt;&lt;strong&gt;Potential&lt;/strong&gt;:&amp;nbsp;82.89 to 88.89 points&lt;/p&gt;
&lt;p&gt;&amp;nbsp;&lt;/p&gt;
&lt;p&gt;&lt;span style="text-decoration: underline;"&gt;&lt;strong&gt;Bull&lt;/strong&gt;&lt;/span&gt;&lt;/p&gt;
&lt;p&gt;&lt;strong&gt;ALL:&lt;/strong&gt; 26 outs 6 rides - &lt;span style="color: #ff0000;"&gt;&lt;em&gt;76.92%&lt;/em&gt;&lt;/span&gt;&lt;/p&gt;
&lt;p&gt;&lt;strong&gt;UTB:&lt;/strong&gt; 12 outs 6 rides - &lt;span style="color: #ff0000;"&gt;&lt;em&gt;50%&lt;/em&gt;&lt;/span&gt;&lt;/p&gt;
&lt;p&gt;&lt;em&gt;&lt;span style="color: #ff0000;"&gt;*No Previous Matchups&lt;/span&gt;&lt;/em&gt;&lt;/p&gt;
&lt;hr /&gt;
&lt;p class="my-2 [&amp;amp;+p]:mt-4 [&amp;amp;_strong:has(+br)]:inline-block [&amp;amp;_strong:has(+br)]:pb-2"&gt;Jess Lockwood is a left-handed, 2-time PBR World Champion bull rider from Volborg, Montana, widely regarded as one of the most talented and intense riders of his generation.&lt;/p&gt;
&lt;h2 id="basic-profile" class="font-editorial font-bold mb-2 mt-4 [.has-inline-images_&amp;amp;]:clear-end text-lg first:mt-0 md:text-lg [hr+&amp;amp;]:mt-4"&gt;Basic profile&lt;/h2&gt;
&lt;ul class="marker:text-quiet list-disc pl-8"&gt;
&lt;li class="py-0 my-0 prose-p:pt-0 prose-p:mb-2 prose-p:my-0 [&amp;amp;&amp;gt;p]:pt-0 [&amp;amp;&amp;gt;p]:mb-2 [&amp;amp;&amp;gt;p]:my-0"&gt;
&lt;p class="my-2 [&amp;amp;+p]:mt-4 [&amp;amp;_strong:has(+br)]:inline-block [&amp;amp;_strong:has(+br)]:pb-2"&gt;&lt;strong&gt;Name:&lt;/strong&gt;&amp;nbsp;Jess Lockwood&lt;/p&gt;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[&amp;amp;_strong:has(+br)]:pb-2"&gt;&lt;strong&gt;Hometown:&lt;/strong&gt;&amp;nbsp;Volborg, Montana, USA&lt;/p&gt;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[&amp;amp;_strong:has(+br)]:pb-2"&gt;&lt;strong&gt;Team:&lt;/strong&gt;&amp;nbsp;Carolina Cowboys (PBR Teams)&lt;/p&gt;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[&amp;amp;_strong:has(+br)]:pb-2"&gt;&lt;strong&gt;Hand:&lt;/strong&gt;&amp;nbsp;Left&lt;/p&gt;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[&amp;amp;_strong:has(+br)]:pb-2"&gt;&lt;strong&gt;Age / Size:&lt;/strong&gt;&amp;nbsp;28 years old, 5'5", ~130 lbs&lt;/p&gt;
&lt;/li&gt;
&lt;/ul&gt;
&lt;h2 id="career-accomplishments" class="font-editorial font-bold mb-2 mt-4 [.has-inline-images_&amp;amp;]:clear-end text-lg first:mt-0 md:text-lg [hr+&amp;amp;]:mt-4"&gt;Career accomplishments&lt;/h2&gt;
&lt;ul class="marker:text-quiet list-disc pl-8"&gt;
&lt;li class="py-0 my-0 prose-p:pt-0 prose-p:mb-2 prose-p:my-0 [&amp;amp;&amp;gt;p]:pt-0 [&amp;amp;&amp;gt;p]:mb-2 [&amp;amp;&amp;gt;p]:my-0"&gt;
&lt;p class="my-2 [&amp;amp;+p]:mt-4 [&amp;amp;_strong:has(+br)]:inline-block [&amp;amp;_strong:has(+br)]:pb-2"&gt;&lt;strong&gt;Rookie of the Year:&lt;/strong&gt;&amp;nbsp;2016&lt;/p&gt;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[&amp;amp;_strong:has(+br)]:pb-2"&gt;&lt;strong&gt;World Champion:&lt;/strong&gt;&amp;nbsp;2-time PBR World Champion (youngest 2x world champ in PBR history).&lt;/p&gt;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[&amp;amp;_strong:has(+br)]:pb-2"&gt;&lt;strong&gt;World Finals event champion:&lt;/strong&gt;&amp;nbsp;1x&lt;/p&gt;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[&amp;amp;_strong:has(+br)]:pb-2"&gt;&lt;strong&gt;PBR Teams champion:&lt;/strong&gt;&amp;nbsp;1x with Carolina Cowboys.&lt;/p&gt;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[&amp;amp;_strong:has(+br)]:pb-2"&gt;&lt;strong&gt;Touring Pro Division champion:&lt;/strong&gt;&amp;nbsp;1x&lt;/p&gt;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[&amp;amp;_strong:has(+br)]:pb-2"&gt;Career headline stats on the site: 94-point career-high, 38 total event wins, 44 career 90-point rides, 540 outs, 260 rides, 48% ride percentage, over $4.45M in earnings.&lt;/p&gt;
&lt;/li&gt;
&lt;/ul&gt;
&lt;h2 id="style-background-and-persona" class="font-editorial font-bold mb-2 mt-4 [.has-inline-images_&amp;amp;]:clear-end text-lg first:mt-0 md:text-lg [hr+&amp;amp;]:mt-4"&gt;Style, background, and persona&lt;/h2&gt;
&lt;ul class="marker:text-quiet list-disc pl-8"&gt;
&lt;li class="py-0 my-0 prose-p:pt-0 prose-p:mb-2 prose-p:my-0 [&amp;amp;&amp;gt;p]:pt-0 [&amp;amp;&amp;gt;p]:mb-2 [&amp;amp;&amp;gt;p]:my-0"&gt;
&lt;p class="my-2 [&amp;amp;+p]:mt-4 [&amp;amp;_strong:has(+br)]:inline-block [&amp;amp;_strong:has(+br)]:pb-2"&gt;Raised on a 12,000-acre ranch in Montana; parents were rodeo competitors (bull/saddle bronc and barrel racing), and he started young on sheep, calves, then bulls.&lt;/p&gt;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[&amp;amp;_strong:has(+br)]:pb-2"&gt;Known for being technically sharp and mentally tough, with a very aggressive, competitive approach.&lt;/p&gt;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[&amp;amp;_strong:has(+br)]:pb-2"&gt;Has battled injuries and stepped away at times but returned to top form, including a big comeback win in Tampa in 2026 and a key role in Carolina Cowboys&amp;rsquo; 2025 Teams title.&lt;/p&gt;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[&amp;amp;_strong:has(+br)]:pb-2"&gt;Very ritual-oriented: keeps a cross necklace, sticks to the same competition-day meal, and uses &amp;ldquo;Thunderstruck&amp;rdquo; by AC/DC as his go-to hype song.&lt;/p&gt;
&lt;/li&gt;
&lt;/ul&gt;
&lt;h2 id="personality-notes" class="font-editorial font-bold mb-2 mt-4 [.has-inline-images_&amp;amp;]:clear-end text-lg first:mt-0 md:text-lg [hr+&amp;amp;]:mt-4"&gt;Personality notes&lt;/h2&gt;
&lt;ul class="marker:text-quiet list-disc pl-8"&gt;
&lt;li class="py-0 my-0 prose-p:pt-0 prose-p:mb-2 prose-p:my-0 [&amp;amp;&amp;gt;p]:pt-0 [&amp;amp;&amp;gt;p]:mb-2 [&amp;amp;&amp;gt;p]:my-0"&gt;
&lt;p class="my-2 [&amp;amp;+p]:mt-4 [&amp;amp;_strong:has(+br)]:inline-block [&amp;amp;_strong:has(+br)]:pb-2"&gt;Former high school wrestler with unusual flexibility early on (could do the splits), which helped his riding.&lt;/p&gt;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[&amp;amp;_strong:has(+br)]:pb-2"&gt;Invests in recovery and longevity (e.g., uses a biomedical feedback machine after pelvic surgery to train core engagement).&lt;/p&gt;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[&amp;amp;_strong:has(+br)]:pb-2"&gt;Off the dirt he&amp;rsquo;s into music (played trumpet, choir, band kid, Turnpike Troubadours fan) and cites Forrest Gump as his favorite movie, which fits his keep-moving-forward mindset.&lt;/p&gt;
&lt;/li&gt;
&lt;/ul&gt;</t>
  </si>
  <si>
    <t>-</t>
  </si>
  <si>
    <t>2-0 (0)</t>
  </si>
  <si>
    <t>127 Bulldog(56214)</t>
  </si>
  <si>
    <t>Kase Hitt</t>
  </si>
  <si>
    <t>0.236 (6)</t>
  </si>
  <si>
    <t>UNKNOWN</t>
  </si>
  <si>
    <t>&lt;h2&gt;Rider&lt;/h2&gt;&lt;p&gt;&lt;strong&gt;Career:&amp;nbsp;&lt;/strong&gt;Career: 94 for 330 - &lt;span style="color: #ff0000;"&gt;&lt;em&gt;28.48%&lt;/em&gt;&lt;/span&gt; - Rider Rating: .183&lt;/p&gt;&lt;p&gt;&lt;strong&gt;Season:&amp;nbsp;&lt;/strong&gt;Rank&amp;nbsp;&lt;span style="color: #ff0000;"&gt;32&lt;/span&gt; (16 for 51 - &lt;em&gt;31.4%&lt;/em&gt;)&lt;em&gt;&lt;br /&gt;&lt;/em&gt;&lt;/p&gt;&lt;p&gt;&lt;strong&gt;Points:&amp;nbsp;&lt;/strong&gt;137.00 pts &lt;span style="color: #ff0000;"&gt;&lt;em&gt;(-690.5)&lt;/em&gt;&lt;/span&gt;&lt;/p&gt;&lt;p&gt;&lt;strong&gt;Earnings:&amp;nbsp;&lt;/strong&gt;&lt;span style="color: #008000;"&gt;&lt;em&gt;$49,517.31&lt;/em&gt;&lt;/span&gt;&lt;/p&gt;&lt;p&gt;&lt;strong&gt;Potential&lt;/strong&gt;:&amp;nbsp;83.31 to 89.31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</si>
  <si>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Fade</t>
  </si>
  <si>
    <t>1-1 (1)</t>
  </si>
  <si>
    <t>012 Crockett(56035)</t>
  </si>
  <si>
    <t>Julio Cesar Marques</t>
  </si>
  <si>
    <t>0.364 (6)</t>
  </si>
  <si>
    <t>Right</t>
  </si>
  <si>
    <t>&lt;h2&gt;Rider&lt;/h2&gt;&lt;p&gt;&lt;strong&gt;Career:&amp;nbsp;&lt;/strong&gt;Career: 126 for 328 - &lt;span style="color: #ff0000;"&gt;&lt;em&gt;38.41%&lt;/em&gt;&lt;/span&gt; - Rider Rating: *.269&lt;/p&gt;&lt;p&gt;&lt;strong&gt;Season:&amp;nbsp;&lt;/strong&gt;Rank&amp;nbsp;&lt;span style="color: #ff0000;"&gt;10&lt;/span&gt; (26 for 67 - &lt;em&gt;38.8%&lt;/em&gt;)&lt;em&gt;&lt;br /&gt;&lt;/em&gt;&lt;/p&gt;&lt;p&gt;&lt;strong&gt;Points:&amp;nbsp;&lt;/strong&gt;392.00 pts &lt;span style="color: #ff0000;"&gt;&lt;em&gt;(-435.5)&lt;/em&gt;&lt;/span&gt;&lt;/p&gt;&lt;p&gt;&lt;strong&gt;Earnings:&amp;nbsp;&lt;/strong&gt;&lt;span style="color: #008000;"&gt;&lt;em&gt;$125,660.26&lt;/em&gt;&lt;/span&gt;&lt;/p&gt;&lt;p&gt;&lt;strong&gt;Potential&lt;/strong&gt;:&amp;nbsp;85.96 to 91.96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</si>
  <si>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Pass</t>
  </si>
  <si>
    <t>3-1 (1)</t>
  </si>
  <si>
    <t>22-9 Kay Dog(55806)</t>
  </si>
  <si>
    <t>Kaiden Loud</t>
  </si>
  <si>
    <t>0.316 (6)</t>
  </si>
  <si>
    <t>&lt;h2&gt;Rider&lt;/h2&gt;&lt;p&gt;&lt;strong&gt;Career:&amp;nbsp;&lt;/strong&gt;Career: 110 for 273 - &lt;span style="color: #ff0000;"&gt;&lt;em&gt;40.29%&lt;/em&gt;&lt;/span&gt; - Rider Rating: *.295&lt;/p&gt;&lt;p&gt;&lt;strong&gt;Season:&amp;nbsp;&lt;/strong&gt;Rank&amp;nbsp;&lt;span style="color: #ff0000;"&gt;16&lt;/span&gt; (21 for 56 - &lt;em&gt;37.5%&lt;/em&gt;)&lt;em&gt;&lt;br /&gt;&lt;/em&gt;&lt;/p&gt;&lt;p&gt;&lt;strong&gt;Points:&amp;nbsp;&lt;/strong&gt;336.00 pts &lt;span style="color: #ff0000;"&gt;&lt;em&gt;(-491.5)&lt;/em&gt;&lt;/span&gt;&lt;/p&gt;&lt;p&gt;&lt;strong&gt;Earnings:&amp;nbsp;&lt;/strong&gt;&lt;span style="color: #008000;"&gt;&lt;em&gt;$96,890.29&lt;/em&gt;&lt;/span&gt;&lt;/p&gt;&lt;p&gt;&lt;strong&gt;Potential&lt;/strong&gt;:&amp;nbsp;83.9 to 89.9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</si>
  <si>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--</t>
  </si>
  <si>
    <t>497 MF Cupcake(56540)</t>
  </si>
  <si>
    <t>BSBL</t>
  </si>
  <si>
    <t>Mauricio Gulla Moreira</t>
  </si>
  <si>
    <t>0.234 (5)</t>
  </si>
  <si>
    <t>&lt;h2&gt;Rider&lt;/h2&gt;&lt;p&gt;&lt;strong&gt;Career:&amp;nbsp;&lt;/strong&gt;Career: 154 for 515 - &lt;span style="color: #ff0000;"&gt;&lt;em&gt;29.9%&lt;/em&gt;&lt;/span&gt; - Rider Rating: *.250&lt;/p&gt;&lt;p&gt;&lt;strong&gt;Season:&amp;nbsp;&lt;/strong&gt;Rank&amp;nbsp;&lt;span style="color: #ff0000;"&gt;38&lt;/span&gt; (21 for 70 - &lt;em&gt;30%&lt;/em&gt;)&lt;em&gt;&lt;br /&gt;&lt;/em&gt;&lt;/p&gt;&lt;p&gt;&lt;strong&gt;Points:&amp;nbsp;&lt;/strong&gt;86.00 pts &lt;span style="color: #ff0000;"&gt;&lt;em&gt;(-741.5)&lt;/em&gt;&lt;/span&gt;&lt;/p&gt;&lt;p&gt;&lt;strong&gt;Earnings:&amp;nbsp;&lt;/strong&gt;&lt;span style="color: #008000;"&gt;&lt;em&gt;$85,787.98&lt;/em&gt;&lt;/span&gt;&lt;/p&gt;&lt;p&gt;&lt;strong&gt;Potential&lt;/strong&gt;:&amp;nbsp;-1 to 5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</si>
  <si>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27-6 (2)</t>
  </si>
  <si>
    <t>W905 Wishful Thinking(48948)</t>
  </si>
  <si>
    <t>CWTZ</t>
  </si>
  <si>
    <t>Bob Mitchell</t>
  </si>
  <si>
    <t>0.401 (10)</t>
  </si>
  <si>
    <t>Rider 3.00%</t>
  </si>
  <si>
    <t>&lt;h2&gt;Rider&lt;/h2&gt;&lt;p&gt;&lt;strong&gt;Career:&amp;nbsp;&lt;/strong&gt;Career: 180 for 459 - &lt;span style="color: #ff0000;"&gt;&lt;em&gt;39.22%&lt;/em&gt;&lt;/span&gt; - Rider Rating: *.278&lt;/p&gt;&lt;p&gt;&lt;strong&gt;Season:&amp;nbsp;&lt;/strong&gt;Rank&amp;nbsp;&lt;span style="color: #ff0000;"&gt;17&lt;/span&gt; (31 for 59 - &lt;em&gt;52.5%&lt;/em&gt;)&lt;em&gt;&lt;br /&gt;&lt;/em&gt;&lt;/p&gt;&lt;p&gt;&lt;strong&gt;Points:&amp;nbsp;&lt;/strong&gt;303.00 pts &lt;span style="color: #ff0000;"&gt;&lt;em&gt;(-524.5)&lt;/em&gt;&lt;/span&gt;&lt;/p&gt;&lt;p&gt;&lt;strong&gt;Earnings:&amp;nbsp;&lt;/strong&gt;&lt;span style="color: #008000;"&gt;&lt;em&gt;$98,926.07&lt;/em&gt;&lt;/span&gt;&lt;/p&gt;&lt;p&gt;&lt;strong&gt;Potential&lt;/strong&gt;:&amp;nbsp;81.92 to 87.92 points&lt;/p&gt;&lt;p&gt;&amp;nbsp;&lt;/p&gt;&lt;p&gt;&lt;span style="text-decoration: underline;"&gt;&lt;strong&gt;Bull&lt;/strong&gt;&lt;/span&gt;&lt;/p&gt;&lt;p&gt;&lt;strong&gt;ALL:&lt;/strong&gt; 33 outs 6 rides - &lt;span style="color: #ff0000;"&gt;&lt;em&gt;81.82%&lt;/em&gt;&lt;/span&gt;&lt;/p&gt;&lt;p&gt;&lt;strong&gt;UTB:&lt;/strong&gt; 11 outs 4 rides - &lt;span style="color: #ff0000;"&gt;&lt;em&gt;63.64%&lt;/em&gt;&lt;/span&gt;&lt;/p&gt;&lt;p&gt;&lt;em&gt;&lt;span style="color: #ff0000;"&gt;*No Previous Matchups&lt;/span&gt;&lt;/em&gt;&lt;/p&gt;&lt;p&gt;&amp;nbsp;&lt;/p&gt;</t>
  </si>
  <si>
    <t>7-0 (0)</t>
  </si>
  <si>
    <t>W251 Kinky Brahmer(54839)</t>
  </si>
  <si>
    <t>Keyshawn Whitehorse</t>
  </si>
  <si>
    <t>0.323 (7)</t>
  </si>
  <si>
    <t>&lt;h2&gt;Rider&lt;/h2&gt;&lt;p&gt;&lt;strong&gt;Career:&amp;nbsp;&lt;/strong&gt;Career: 363 for 942 - &lt;span style="color: #ff0000;"&gt;&lt;em&gt;38.54%&lt;/em&gt;&lt;/span&gt; - Rider Rating: *.294&lt;/p&gt;&lt;p&gt;&lt;strong&gt;Season:&amp;nbsp;&lt;/strong&gt;Rank&amp;nbsp;&lt;span style="color: #ff0000;"&gt;9&lt;/span&gt; (34 for 69 - &lt;em&gt;49.3%&lt;/em&gt;)&lt;em&gt;&lt;br /&gt;&lt;/em&gt;&lt;/p&gt;&lt;p&gt;&lt;strong&gt;Points:&amp;nbsp;&lt;/strong&gt;405.00 pts &lt;span style="color: #ff0000;"&gt;&lt;em&gt;(-422.5)&lt;/em&gt;&lt;/span&gt;&lt;/p&gt;&lt;p&gt;&lt;strong&gt;Earnings:&amp;nbsp;&lt;/strong&gt;&lt;span style="color: #008000;"&gt;&lt;em&gt;$159,605.64&lt;/em&gt;&lt;/span&gt;&lt;/p&gt;&lt;p&gt;&lt;strong&gt;Potential&lt;/strong&gt;:&amp;nbsp;82.8 to 88.8 points&lt;/p&gt;&lt;p&gt;&amp;nbsp;&lt;/p&gt;&lt;p&gt;&lt;span style="text-decoration: underline;"&gt;&lt;strong&gt;Bull&lt;/strong&gt;&lt;/span&gt;&lt;/p&gt;&lt;p&gt;&lt;strong&gt;ALL:&lt;/strong&gt; 7 outs 0 rides - &lt;span style="color: #ff0000;"&gt;&lt;em&gt;100%&lt;/em&gt;&lt;/span&gt;&lt;/p&gt;&lt;p&gt;&lt;em&gt;&lt;span style="color: #ff0000;"&gt;*No Previous Matchups&lt;/span&gt;&lt;/em&gt;&lt;/p&gt;&lt;p&gt;&amp;nbsp;&lt;/p&gt;</t>
  </si>
  <si>
    <t>8-4 (1)</t>
  </si>
  <si>
    <t>J44 Cherry Shot(53968)</t>
  </si>
  <si>
    <t>FLNN</t>
  </si>
  <si>
    <t>Manoelito de Souza Junior</t>
  </si>
  <si>
    <t>0.314 (8)</t>
  </si>
  <si>
    <t>Rider 17.00%</t>
  </si>
  <si>
    <t>&lt;h2&gt;Rider&lt;/h2&gt;&lt;p&gt;&lt;strong&gt;Career:&amp;nbsp;&lt;/strong&gt;Career: 112 for 415 - &lt;span style="color: #ff0000;"&gt;&lt;em&gt;26.99%&lt;/em&gt;&lt;/span&gt; - Rider Rating: *.200&lt;/p&gt;&lt;p&gt;&lt;strong&gt;Season:&amp;nbsp;&lt;/strong&gt;Rank&amp;nbsp;&lt;span style="color: #ff0000;"&gt;35&lt;/span&gt; (6 for 26 - &lt;em&gt;23.1%&lt;/em&gt;)&lt;em&gt;&lt;br /&gt;&lt;/em&gt;&lt;/p&gt;&lt;p&gt;&lt;strong&gt;Points:&amp;nbsp;&lt;/strong&gt;112.00 pts &lt;span style="color: #ff0000;"&gt;&lt;em&gt;(-715.5)&lt;/em&gt;&lt;/span&gt;&lt;/p&gt;&lt;p&gt;&lt;strong&gt;Earnings:&amp;nbsp;&lt;/strong&gt;&lt;span style="color: #008000;"&gt;&lt;em&gt;$18,000.00&lt;/em&gt;&lt;/span&gt;&lt;/p&gt;&lt;p&gt;&lt;strong&gt;Potential&lt;/strong&gt;:&amp;nbsp;85.65 to 91.65 points&lt;/p&gt;&lt;p&gt;&amp;nbsp;&lt;/p&gt;&lt;p&gt;&lt;span style="text-decoration: underline;"&gt;&lt;strong&gt;Bull&lt;/strong&gt;&lt;/span&gt;&lt;/p&gt;&lt;p&gt;&lt;strong&gt;ALL:&lt;/strong&gt; 12 outs 4 rides - &lt;span style="color: #ff0000;"&gt;&lt;em&gt;66.67%&lt;/em&gt;&lt;/span&gt;&lt;/p&gt;&lt;p&gt;&lt;strong&gt;UTB:&lt;/strong&gt; 10 outs 3 rides - &lt;span style="color: #ff0000;"&gt;&lt;em&gt;70%&lt;/em&gt;&lt;/span&gt;&lt;/p&gt;&lt;p&gt;&lt;em&gt;&lt;span style="color: #ff0000;"&gt;*No Previous Matchups&lt;/span&gt;&lt;/em&gt;&lt;/p&gt;&lt;p&gt;&amp;nbsp;&lt;/p&gt;</t>
  </si>
  <si>
    <t>10-2 (1)</t>
  </si>
  <si>
    <t>17J Torched(53970)</t>
  </si>
  <si>
    <t>Leandro Zampollo</t>
  </si>
  <si>
    <t>0.401 (8)</t>
  </si>
  <si>
    <t>Rider 40.00%</t>
  </si>
  <si>
    <t>&lt;h2&gt;Rider&lt;/h2&gt;&lt;p&gt;&lt;strong&gt;Career:&amp;nbsp;&lt;/strong&gt;Career: 60 for 163 - &lt;span style="color: #ff0000;"&gt;&lt;em&gt;36.81%&lt;/em&gt;&lt;/span&gt; - Rider Rating: *.221&lt;/p&gt;&lt;p&gt;&lt;strong&gt;Season:&amp;nbsp;&lt;/strong&gt;Rank&amp;nbsp;&lt;span style="color: #ff0000;"&gt;3&lt;/span&gt; (24 for 38 - &lt;em&gt;63.2%&lt;/em&gt;)&lt;em&gt;&lt;br /&gt;&lt;/em&gt;&lt;/p&gt;&lt;p&gt;&lt;strong&gt;Points:&amp;nbsp;&lt;/strong&gt;595.50 pts &lt;span style="color: #ff0000;"&gt;&lt;em&gt;(-232)&lt;/em&gt;&lt;/span&gt;&lt;/p&gt;&lt;p&gt;&lt;strong&gt;Earnings:&amp;nbsp;&lt;/strong&gt;&lt;span style="color: #008000;"&gt;&lt;em&gt;$140,650.12&lt;/em&gt;&lt;/span&gt;&lt;/p&gt;&lt;p&gt;&lt;strong&gt;Potential&lt;/strong&gt;:&amp;nbsp;83.9 to 89.9 points&lt;/p&gt;&lt;p&gt;&amp;nbsp;&lt;/p&gt;&lt;p&gt;&lt;span style="text-decoration: underline;"&gt;&lt;strong&gt;Bull&lt;/strong&gt;&lt;/span&gt;&lt;/p&gt;&lt;p&gt;&lt;strong&gt;ALL:&lt;/strong&gt; 12 outs 2 rides - &lt;span style="color: #ff0000;"&gt;&lt;em&gt;83.33%&lt;/em&gt;&lt;/span&gt;&lt;/p&gt;&lt;p&gt;&lt;strong&gt;UTB:&lt;/strong&gt; 10 outs 2 rides - &lt;span style="color: #ff0000;"&gt;&lt;em&gt;80%&lt;/em&gt;&lt;/span&gt;&lt;/p&gt;&lt;p&gt;&lt;em&gt;&lt;span style="color: #ff0000;"&gt;*No Previous Matchups&lt;/span&gt;&lt;/em&gt;&lt;/p&gt;&lt;p&gt;&amp;nbsp;&lt;/p&gt;</t>
  </si>
  <si>
    <t>2-2 (2)</t>
  </si>
  <si>
    <t>46K Dirty Honey(56046)</t>
  </si>
  <si>
    <t>TFRS</t>
  </si>
  <si>
    <t>Paulo Eduardo Rossetto</t>
  </si>
  <si>
    <t>0.390 (6)</t>
  </si>
  <si>
    <t>&lt;h2&gt;Rider&lt;/h2&gt;&lt;p&gt;&lt;strong&gt;Career:&amp;nbsp;&lt;/strong&gt;Career: 141 for 331 - &lt;span style="color: #ff0000;"&gt;&lt;em&gt;42.6%&lt;/em&gt;&lt;/span&gt; - Rider Rating: *.313&lt;/p&gt;&lt;p&gt;&lt;strong&gt;Season:&amp;nbsp;&lt;/strong&gt;Rank&amp;nbsp;&lt;span style="color: #ff0000;"&gt;7&lt;/span&gt; (41 for 81 - &lt;em&gt;50.6%&lt;/em&gt;)&lt;em&gt;&lt;br /&gt;&lt;/em&gt;&lt;/p&gt;&lt;p&gt;&lt;strong&gt;Points:&amp;nbsp;&lt;/strong&gt;477.00 pts &lt;span style="color: #ff0000;"&gt;&lt;em&gt;(-350.5)&lt;/em&gt;&lt;/span&gt;&lt;/p&gt;&lt;p&gt;&lt;strong&gt;Earnings:&amp;nbsp;&lt;/strong&gt;&lt;span style="color: #008000;"&gt;&lt;em&gt;$231,144.68&lt;/em&gt;&lt;/span&gt;&lt;/p&gt;&lt;p&gt;&lt;strong&gt;Potential&lt;/strong&gt;:&amp;nbsp;85.48 to 91.48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</si>
  <si>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3-2 (2)</t>
  </si>
  <si>
    <t>24 Max Bet(54711)</t>
  </si>
  <si>
    <t>Alex Cerqueira</t>
  </si>
  <si>
    <t>0.506 (7)</t>
  </si>
  <si>
    <t>&lt;h2&gt;Rider&lt;/h2&gt;&lt;p&gt;&lt;strong&gt;Career:&amp;nbsp;&lt;/strong&gt;Career: 197 for 510 - &lt;span style="color: #ff0000;"&gt;&lt;em&gt;38.63%&lt;/em&gt;&lt;/span&gt; - Rider Rating: *.272&lt;/p&gt;&lt;p&gt;&lt;strong&gt;Season:&amp;nbsp;&lt;/strong&gt;Rank&amp;nbsp;&lt;span style="color: #ff0000;"&gt;5&lt;/span&gt; (33 for 63 - &lt;em&gt;52.4%&lt;/em&gt;)&lt;em&gt;&lt;br /&gt;&lt;/em&gt;&lt;/p&gt;&lt;p&gt;&lt;strong&gt;Points:&amp;nbsp;&lt;/strong&gt;502.50 pts &lt;span style="color: #ff0000;"&gt;&lt;em&gt;(-325)&lt;/em&gt;&lt;/span&gt;&lt;/p&gt;&lt;p&gt;&lt;strong&gt;Earnings:&amp;nbsp;&lt;/strong&gt;&lt;span style="color: #008000;"&gt;&lt;em&gt;$162,471.28&lt;/em&gt;&lt;/span&gt;&lt;/p&gt;&lt;p&gt;&lt;strong&gt;Potential&lt;/strong&gt;:&amp;nbsp;84.1 to 90.1 points&lt;/p&gt;&lt;p&gt;&amp;nbsp;&lt;/p&gt;&lt;p&gt;&lt;span style="text-decoration: underline;"&gt;&lt;strong&gt;Bull&lt;/strong&gt;&lt;/span&gt;&lt;/p&gt;&lt;p&gt;&lt;strong&gt;ALL:&lt;/strong&gt; 5 outs 2 rides - &lt;span style="color: #ff0000;"&gt;&lt;em&gt;60%&lt;/em&gt;&lt;/span&gt;&lt;/p&gt;&lt;p&gt;&lt;em&gt;&lt;span style="color: #ff0000;"&gt;*No Previous Matchups&lt;/span&gt;&lt;/em&gt;&lt;/p&gt;&lt;p&gt;&amp;nbsp;&lt;/p&gt;</t>
  </si>
  <si>
    <t>32-16 (8)</t>
  </si>
  <si>
    <t>G15 Snap Chatter(47944)</t>
  </si>
  <si>
    <t>MSAM</t>
  </si>
  <si>
    <t>Luciano De Castro</t>
  </si>
  <si>
    <t>0.320 (10)</t>
  </si>
  <si>
    <t>Bull 26.00%</t>
  </si>
  <si>
    <t>RIGHT</t>
  </si>
  <si>
    <t>&lt;h2&gt;Rider&lt;/h2&gt;&lt;p&gt;&lt;strong&gt;Career:&amp;nbsp;&lt;/strong&gt;Career: 350 for 767 - &lt;span style="color: #ff0000;"&gt;&lt;em&gt;45.63%&lt;/em&gt;&lt;/span&gt; - Rider Rating: *.340&lt;/p&gt;&lt;p&gt;&lt;strong&gt;Season:&amp;nbsp;&lt;/strong&gt;Rank&amp;nbsp;&lt;span style="color: #ff0000;"&gt;18&lt;/span&gt; (33 for 71 - &lt;em&gt;46.5%&lt;/em&gt;)&lt;em&gt;&lt;br /&gt;&lt;/em&gt;&lt;/p&gt;&lt;p&gt;&lt;strong&gt;Points:&amp;nbsp;&lt;/strong&gt;249.00 pts &lt;span style="color: #ff0000;"&gt;&lt;em&gt;(-578.5)&lt;/em&gt;&lt;/span&gt;&lt;/p&gt;&lt;p&gt;&lt;strong&gt;Earnings:&amp;nbsp;&lt;/strong&gt;&lt;span style="color: #008000;"&gt;&lt;em&gt;$144,962.86&lt;/em&gt;&lt;/span&gt;&lt;/p&gt;&lt;p&gt;&lt;strong&gt;Potential&lt;/strong&gt;:&amp;nbsp;84.43 to 90.43 points&lt;/p&gt;&lt;p&gt;&amp;nbsp;&lt;/p&gt;&lt;p&gt;&lt;span style="text-decoration: underline;"&gt;&lt;strong&gt;Bull&lt;/strong&gt;&lt;/span&gt;&lt;/p&gt;&lt;p&gt;&lt;strong&gt;ALL:&lt;/strong&gt; 48 outs 16 rides - &lt;span style="color: #ff0000;"&gt;&lt;em&gt;66.67%&lt;/em&gt;&lt;/span&gt;&lt;/p&gt;&lt;p&gt;&lt;strong&gt;UTB:&lt;/strong&gt; 33 outs 15 rides - &lt;span style="color: #ff0000;"&gt;&lt;em&gt;54.55%&lt;/em&gt;&lt;/span&gt;&lt;/p&gt;&lt;p&gt;&lt;em&gt;&lt;span style="color: #ff0000;"&gt;Previous Matchup at Kansas City Oct '25 with a 4.01 second ride resulting in no score.&lt;/span&gt;&lt;/em&gt;&lt;/p&gt;&lt;p&gt;&amp;nbsp;&lt;/p&gt;</t>
  </si>
  <si>
    <t>122 Doctor Win(54869)</t>
  </si>
  <si>
    <t>Maverick Smith</t>
  </si>
  <si>
    <t>0.263 (6)</t>
  </si>
  <si>
    <t>&lt;h2&gt;Rider&lt;/h2&gt;&lt;p&gt;&lt;strong&gt;Career:&amp;nbsp;&lt;/strong&gt;Career: 124 for 370 - &lt;span style="color: #ff0000;"&gt;&lt;em&gt;33.51%&lt;/em&gt;&lt;/span&gt; - Rider Rating: *.224&lt;/p&gt;&lt;p&gt;&lt;strong&gt;Season:&amp;nbsp;&lt;/strong&gt;Rank&amp;nbsp;&lt;span style="color: #ff0000;"&gt;14&lt;/span&gt; (31 for 74 - &lt;em&gt;41.9%&lt;/em&gt;)&lt;em&gt;&lt;br /&gt;&lt;/em&gt;&lt;/p&gt;&lt;p&gt;&lt;strong&gt;Points:&amp;nbsp;&lt;/strong&gt;367.00 pts &lt;span style="color: #ff0000;"&gt;&lt;em&gt;(-460.5)&lt;/em&gt;&lt;/span&gt;&lt;/p&gt;&lt;p&gt;&lt;strong&gt;Earnings:&amp;nbsp;&lt;/strong&gt;&lt;span style="color: #008000;"&gt;&lt;em&gt;$167,209.13&lt;/em&gt;&lt;/span&gt;&lt;/p&gt;&lt;p&gt;&lt;strong&gt;Potential&lt;/strong&gt;:&amp;nbsp;86.15 to 92.15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</si>
  <si>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11-1 (1)</t>
  </si>
  <si>
    <t>25 Fury(52181)</t>
  </si>
  <si>
    <t>JCKP</t>
  </si>
  <si>
    <t>Hudson Bolton</t>
  </si>
  <si>
    <t>0.386 (8)</t>
  </si>
  <si>
    <t>Bull 17.00%</t>
  </si>
  <si>
    <t>&lt;h2&gt;Rider&lt;/h2&gt;&lt;p&gt;&lt;strong&gt;Career:&amp;nbsp;&lt;/strong&gt;Career: 137 for 257 - &lt;span style="color: #ff0000;"&gt;&lt;em&gt;53.31%&lt;/em&gt;&lt;/span&gt; - Rider Rating: *.362&lt;/p&gt;&lt;p&gt;&lt;strong&gt;Season:&amp;nbsp;&lt;/strong&gt;Rank&amp;nbsp;&lt;span style="color: #ff0000;"&gt;31&lt;/span&gt; (12 for 28 - &lt;em&gt;42.9%&lt;/em&gt;)&lt;em&gt;&lt;br /&gt;&lt;/em&gt;&lt;/p&gt;&lt;p&gt;&lt;strong&gt;Points:&amp;nbsp;&lt;/strong&gt;173.00 pts &lt;span style="color: #ff0000;"&gt;&lt;em&gt;(-654.5)&lt;/em&gt;&lt;/span&gt;&lt;/p&gt;&lt;p&gt;&lt;strong&gt;Earnings:&amp;nbsp;&lt;/strong&gt;&lt;span style="color: #008000;"&gt;&lt;em&gt;$61,468.24&lt;/em&gt;&lt;/span&gt;&lt;/p&gt;&lt;p&gt;&lt;strong&gt;Potential&lt;/strong&gt;:&amp;nbsp;84.6 to 90.6 points&lt;/p&gt;&lt;p&gt;&amp;nbsp;&lt;/p&gt;&lt;p&gt;&lt;span style="text-decoration: underline;"&gt;&lt;strong&gt;Bull&lt;/strong&gt;&lt;/span&gt;&lt;/p&gt;&lt;p&gt;&lt;strong&gt;ALL:&lt;/strong&gt; 12 outs 1 rides - &lt;span style="color: #ff0000;"&gt;&lt;em&gt;91.67%&lt;/em&gt;&lt;/span&gt;&lt;/p&gt;&lt;p&gt;&lt;em&gt;&lt;span style="color: #ff0000;"&gt;*No Previous Matchups&lt;/span&gt;&lt;/em&gt;&lt;/p&gt;&lt;p&gt;&amp;nbsp;&lt;/p&gt;</t>
  </si>
  <si>
    <t>18-9 (4)</t>
  </si>
  <si>
    <t>127 Lap Dancer(52572)</t>
  </si>
  <si>
    <t>Alex Junior da Silva</t>
  </si>
  <si>
    <t>0.324 (10)</t>
  </si>
  <si>
    <t>&lt;h2&gt;Rider&lt;/h2&gt;&lt;p&gt;&lt;strong&gt;Career:&amp;nbsp;&lt;/strong&gt;Career: 44 for 153 - &lt;span style="color: #ff0000;"&gt;&lt;em&gt;28.76%&lt;/em&gt;&lt;/span&gt; - Rider Rating: .162&lt;/p&gt;&lt;p&gt;&lt;strong&gt;Season:&amp;nbsp;&lt;/strong&gt;Rank&amp;nbsp;&lt;span style="color: #ff0000;"&gt;43&lt;/span&gt; (4 for 10 - &lt;em&gt;40%&lt;/em&gt;)&lt;em&gt;&lt;br /&gt;&lt;/em&gt;&lt;/p&gt;&lt;p&gt;&lt;strong&gt;Points:&amp;nbsp;&lt;/strong&gt;49.50 pts &lt;span style="color: #ff0000;"&gt;&lt;em&gt;(-778)&lt;/em&gt;&lt;/span&gt;&lt;/p&gt;&lt;p&gt;&lt;strong&gt;Earnings:&amp;nbsp;&lt;/strong&gt;&lt;span style="color: #008000;"&gt;&lt;em&gt;$3,775.00&lt;/em&gt;&lt;/span&gt;&lt;/p&gt;&lt;p&gt;&lt;strong&gt;Potential&lt;/strong&gt;:&amp;nbsp;84.55 to 90.55 points&lt;/p&gt;&lt;p&gt;&amp;nbsp;&lt;/p&gt;&lt;p&gt;&lt;span style="text-decoration: underline;"&gt;&lt;strong&gt;Bull&lt;/strong&gt;&lt;/span&gt;&lt;/p&gt;&lt;p&gt;&lt;strong&gt;ALL:&lt;/strong&gt; 27 outs 9 rides - &lt;span style="color: #ff0000;"&gt;&lt;em&gt;66.67%&lt;/em&gt;&lt;/span&gt;&lt;/p&gt;&lt;p&gt;&lt;strong&gt;UTB:&lt;/strong&gt; 21 outs 8 rides - &lt;span style="color: #ff0000;"&gt;&lt;em&gt;61.9%&lt;/em&gt;&lt;/span&gt;&lt;/p&gt;&lt;p&gt;&lt;em&gt;&lt;span style="color: #ff0000;"&gt;*No Previous Matchups&lt;/span&gt;&lt;/em&gt;&lt;/p&gt;&lt;p&gt;&amp;nbsp;&lt;/p&gt;</t>
  </si>
  <si>
    <t>13-0 (0)</t>
  </si>
  <si>
    <t>202 Humboldt(55061)</t>
  </si>
  <si>
    <t>PHNM</t>
  </si>
  <si>
    <t>Bruno Carvalho</t>
  </si>
  <si>
    <t>0.212 (8)</t>
  </si>
  <si>
    <t>&lt;h2&gt;Rider&lt;/h2&gt;&lt;p&gt;&lt;strong&gt;Career:&amp;nbsp;&lt;/strong&gt;Career: 70 for 217 - &lt;span style="color: #ff0000;"&gt;&lt;em&gt;32.26%&lt;/em&gt;&lt;/span&gt; - Rider Rating: .195&lt;/p&gt;&lt;p&gt;&lt;strong&gt;Season:&amp;nbsp;&lt;/strong&gt;Rank&amp;nbsp;&lt;span style="color: #ff0000;"&gt;41&lt;/span&gt; (9 for 32 - &lt;em&gt;28.1%&lt;/em&gt;)&lt;em&gt;&lt;br /&gt;&lt;/em&gt;&lt;/p&gt;&lt;p&gt;&lt;strong&gt;Points:&amp;nbsp;&lt;/strong&gt;71.50 pts &lt;span style="color: #ff0000;"&gt;&lt;em&gt;(-756)&lt;/em&gt;&lt;/span&gt;&lt;/p&gt;&lt;p&gt;&lt;strong&gt;Earnings:&amp;nbsp;&lt;/strong&gt;&lt;span style="color: #008000;"&gt;&lt;em&gt;$30,528.26&lt;/em&gt;&lt;/span&gt;&lt;/p&gt;&lt;p&gt;&lt;strong&gt;Potential&lt;/strong&gt;:&amp;nbsp;87.11 to 93.11 points&lt;/p&gt;&lt;p&gt;&amp;nbsp;&lt;/p&gt;&lt;p&gt;&lt;span style="text-decoration: underline;"&gt;&lt;strong&gt;Bull&lt;/strong&gt;&lt;/span&gt;&lt;/p&gt;&lt;p&gt;&lt;strong&gt;ALL:&lt;/strong&gt; 13 outs 0 rides - &lt;span style="color: #ff0000;"&gt;&lt;em&gt;100%&lt;/em&gt;&lt;/span&gt;&lt;/p&gt;&lt;p&gt;&lt;em&gt;&lt;span style="color: #ff0000;"&gt;*No Previous Matchups&lt;/span&gt;&lt;/em&gt;&lt;/p&gt;&lt;p&gt;&amp;nbsp;&lt;/p&gt;</t>
  </si>
  <si>
    <t>13-4 (4)</t>
  </si>
  <si>
    <t>219 Ghost Ship Warrior(54896)</t>
  </si>
  <si>
    <t>Mason Taylor</t>
  </si>
  <si>
    <t>0.254 (9)</t>
  </si>
  <si>
    <t>Bull 50.00%</t>
  </si>
  <si>
    <t>&lt;h2&gt;Rider&lt;/h2&gt;&lt;p&gt;&lt;strong&gt;Career:&amp;nbsp;&lt;/strong&gt;Career: 235 for 691 - &lt;span style="color: #ff0000;"&gt;&lt;em&gt;34.01%&lt;/em&gt;&lt;/span&gt; - Rider Rating: *.250&lt;/p&gt;&lt;p&gt;&lt;strong&gt;Season:&amp;nbsp;&lt;/strong&gt;Rank&amp;nbsp;&lt;span style="color: #ff0000;"&gt;51&lt;/span&gt; (3 for 26 - &lt;em&gt;11.5%&lt;/em&gt;)&lt;em&gt;&lt;br /&gt;&lt;/em&gt;&lt;/p&gt;&lt;p&gt;&lt;strong&gt;Points:&amp;nbsp;&lt;/strong&gt;16.00 pts &lt;span style="color: #ff0000;"&gt;&lt;em&gt;(-811.5)&lt;/em&gt;&lt;/span&gt;&lt;/p&gt;&lt;p&gt;&lt;strong&gt;Earnings:&amp;nbsp;&lt;/strong&gt;&lt;span style="color: #008000;"&gt;&lt;em&gt;$27,939.34&lt;/em&gt;&lt;/span&gt;&lt;/p&gt;&lt;p&gt;&lt;strong&gt;Potential&lt;/strong&gt;:&amp;nbsp;86.8 to 92.8 points&lt;/p&gt;&lt;p&gt;&amp;nbsp;&lt;/p&gt;&lt;p&gt;&lt;span style="text-decoration: underline;"&gt;&lt;strong&gt;Bull&lt;/strong&gt;&lt;/span&gt;&lt;/p&gt;&lt;p&gt;&lt;strong&gt;ALL:&lt;/strong&gt; 17 outs 4 rides - &lt;span style="color: #ff0000;"&gt;&lt;em&gt;76.47%&lt;/em&gt;&lt;/span&gt;&lt;/p&gt;&lt;p&gt;&lt;strong&gt;UTB:&lt;/strong&gt; 6 outs 3 rides - &lt;span style="color: #ff0000;"&gt;&lt;em&gt;50%&lt;/em&gt;&lt;/span&gt;&lt;/p&gt;&lt;p&gt;&lt;em&gt;&lt;span style="color: #ff0000;"&gt;*No Previous Matchups&lt;/span&gt;&lt;/em&gt;&lt;/p&gt;&lt;p&gt;&amp;nbsp;&lt;/p&gt;</t>
  </si>
  <si>
    <t>27-4 (2)</t>
  </si>
  <si>
    <t>-117 Back in Black(52731)</t>
  </si>
  <si>
    <t>Marco Rizzo</t>
  </si>
  <si>
    <t>0.244 (10)</t>
  </si>
  <si>
    <t>Bull 25.00%</t>
  </si>
  <si>
    <t>&lt;h2&gt;Rider&lt;/h2&gt;&lt;p&gt;&lt;strong&gt;Career:&amp;nbsp;&lt;/strong&gt;Career: 61 for 175 - &lt;span style="color: #ff0000;"&gt;&lt;em&gt;34.86%&lt;/em&gt;&lt;/span&gt; - Rider Rating: *.218&lt;/p&gt;&lt;p&gt;&lt;strong&gt;Season:&amp;nbsp;&lt;/strong&gt;Rank&amp;nbsp;&lt;span style="color: #ff0000;"&gt;10&lt;/span&gt; (26 for 69 - &lt;em&gt;37.7%&lt;/em&gt;)&lt;em&gt;&lt;br /&gt;&lt;/em&gt;&lt;/p&gt;&lt;p&gt;&lt;strong&gt;Points:&amp;nbsp;&lt;/strong&gt;392.00 pts &lt;span style="color: #ff0000;"&gt;&lt;em&gt;(-435.5)&lt;/em&gt;&lt;/span&gt;&lt;/p&gt;&lt;p&gt;&lt;strong&gt;Earnings:&amp;nbsp;&lt;/strong&gt;&lt;span style="color: #008000;"&gt;&lt;em&gt;$143,065.82&lt;/em&gt;&lt;/span&gt;&lt;/p&gt;&lt;p&gt;&lt;strong&gt;Potential&lt;/strong&gt;:&amp;nbsp;85.09 to 91.09 points&lt;/p&gt;&lt;p&gt;&amp;nbsp;&lt;/p&gt;&lt;p&gt;&lt;span style="text-decoration: underline;"&gt;&lt;strong&gt;Bull&lt;/strong&gt;&lt;/span&gt;&lt;/p&gt;&lt;p&gt;&lt;strong&gt;ALL:&lt;/strong&gt; 31 outs 4 rides - &lt;span style="color: #ff0000;"&gt;&lt;em&gt;87.1%&lt;/em&gt;&lt;/span&gt;&lt;/p&gt;&lt;p&gt;&lt;strong&gt;UTB:&lt;/strong&gt; 5 outs 1 rides - &lt;span style="color: #ff0000;"&gt;&lt;em&gt;80%&lt;/em&gt;&lt;/span&gt;&lt;/p&gt;&lt;p&gt;&lt;em&gt;&lt;span style="color: #ff0000;"&gt;*No Previous Matchups&lt;/span&gt;&lt;/em&gt;&lt;/p&gt;&lt;p&gt;&amp;nbsp;&lt;/p&gt;</t>
  </si>
  <si>
    <t>3 Rack ‘em Willie(56541)</t>
  </si>
  <si>
    <t>John Crimber</t>
  </si>
  <si>
    <t>0.543 (5)</t>
  </si>
  <si>
    <t>&lt;h2&gt;Rider&lt;/h2&gt;&lt;p&gt;&lt;strong&gt;Career:&amp;nbsp;&lt;/strong&gt;Career: 226 for 376 - &lt;span style="color: #ff0000;"&gt;&lt;em&gt;60.11%&lt;/em&gt;&lt;/span&gt; - Rider Rating: *.428&lt;/p&gt;&lt;p&gt;&lt;strong&gt;Season:&amp;nbsp;&lt;/strong&gt;Rank&amp;nbsp;&lt;span style="color: #ff0000;"&gt;1&lt;/span&gt; (52 for 79 - &lt;em&gt;65.8%&lt;/em&gt;)&lt;em&gt;&lt;br /&gt;&lt;/em&gt;&lt;/p&gt;&lt;p&gt;&lt;strong&gt;Points:&amp;nbsp;&lt;/strong&gt;827.50 pts &lt;span style="color: #ff0000;"&gt;&lt;em&gt;(-0)&lt;/em&gt;&lt;/span&gt;&lt;/p&gt;&lt;p&gt;&lt;strong&gt;Earnings:&amp;nbsp;&lt;/strong&gt;&lt;span style="color: #008000;"&gt;&lt;em&gt;$439,789.21&lt;/em&gt;&lt;/span&gt;&lt;/p&gt;&lt;p&gt;&lt;strong&gt;Potential&lt;/strong&gt;:&amp;nbsp;-1 to 5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</si>
  <si>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0-2 (1)</t>
  </si>
  <si>
    <t>60/1 Wild Country(55423)</t>
  </si>
  <si>
    <t>Eduardo Aparecido</t>
  </si>
  <si>
    <t>0.441 (6)</t>
  </si>
  <si>
    <t>&lt;h2&gt;Rider&lt;/h2&gt;&lt;p&gt;&lt;strong&gt;Career:&amp;nbsp;&lt;/strong&gt;Career: 495 for 1132 - &lt;span style="color: #ff0000;"&gt;&lt;em&gt;43.73%&lt;/em&gt;&lt;/span&gt; - Rider Rating: *.360&lt;/p&gt;&lt;p&gt;&lt;strong&gt;Season:&amp;nbsp;&lt;/strong&gt;Rank&amp;nbsp;&lt;span style="color: #ff0000;"&gt;29&lt;/span&gt; (30 for 70 - &lt;em&gt;42.9%&lt;/em&gt;)&lt;em&gt;&lt;br /&gt;&lt;/em&gt;&lt;/p&gt;&lt;p&gt;&lt;strong&gt;Points:&amp;nbsp;&lt;/strong&gt;181.00 pts &lt;span style="color: #ff0000;"&gt;&lt;em&gt;(-646.5)&lt;/em&gt;&lt;/span&gt;&lt;/p&gt;&lt;p&gt;&lt;strong&gt;Earnings:&amp;nbsp;&lt;/strong&gt;&lt;span style="color: #008000;"&gt;&lt;em&gt;$133,422.04&lt;/em&gt;&lt;/span&gt;&lt;/p&gt;&lt;p&gt;&lt;strong&gt;Potential&lt;/strong&gt;:&amp;nbsp;83.75 to 89.75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</si>
  <si>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1-1 (0)</t>
  </si>
  <si>
    <t>222 Triple Trouble(55889)</t>
  </si>
  <si>
    <t>Brady Fielder</t>
  </si>
  <si>
    <t>0.469 (6)</t>
  </si>
  <si>
    <t>&lt;h2&gt;Rider&lt;/h2&gt;&lt;p&gt;&lt;strong&gt;Career:&amp;nbsp;&lt;/strong&gt;Career: 239 for 472 - &lt;span style="color: #ff0000;"&gt;&lt;em&gt;50.64%&lt;/em&gt;&lt;/span&gt; - Rider Rating: *.367&lt;/p&gt;&lt;p&gt;&lt;strong&gt;Season:&amp;nbsp;&lt;/strong&gt;Rank&amp;nbsp;&lt;span style="color: #ff0000;"&gt;4&lt;/span&gt; (49 for 82 - &lt;em&gt;59.8%&lt;/em&gt;)&lt;em&gt;&lt;br /&gt;&lt;/em&gt;&lt;/p&gt;&lt;p&gt;&lt;strong&gt;Points:&amp;nbsp;&lt;/strong&gt;593.00 pts &lt;span style="color: #ff0000;"&gt;&lt;em&gt;(-234.5)&lt;/em&gt;&lt;/span&gt;&lt;/p&gt;&lt;p&gt;&lt;strong&gt;Earnings:&amp;nbsp;&lt;/strong&gt;&lt;span style="color: #008000;"&gt;&lt;em&gt;$367,786.95&lt;/em&gt;&lt;/span&gt;&lt;/p&gt;&lt;p&gt;&lt;strong&gt;Potential&lt;/strong&gt;:&amp;nbsp;81.9 to 87.9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</si>
  <si>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4-1 (1)</t>
  </si>
  <si>
    <t>D9 Bear Cat(55691)</t>
  </si>
  <si>
    <t>Claudio Montanha Jr.</t>
  </si>
  <si>
    <t>0.430 (7)</t>
  </si>
  <si>
    <t>&lt;h2&gt;Rider&lt;/h2&gt;&lt;p&gt;&lt;strong&gt;Career:&amp;nbsp;&lt;/strong&gt;Career: 334 for 865 - &lt;span style="color: #ff0000;"&gt;&lt;em&gt;38.61%&lt;/em&gt;&lt;/span&gt; - Rider Rating: *.272&lt;/p&gt;&lt;p&gt;&lt;strong&gt;Season:&amp;nbsp;&lt;/strong&gt;Rank&amp;nbsp;&lt;span style="color: #ff0000;"&gt;12&lt;/span&gt; (34 for 67 - &lt;em&gt;50.7%&lt;/em&gt;)&lt;em&gt;&lt;br /&gt;&lt;/em&gt;&lt;/p&gt;&lt;p&gt;&lt;strong&gt;Points:&amp;nbsp;&lt;/strong&gt;389.00 pts &lt;span style="color: #ff0000;"&gt;&lt;em&gt;(-438.5)&lt;/em&gt;&lt;/span&gt;&lt;/p&gt;&lt;p&gt;&lt;strong&gt;Earnings:&amp;nbsp;&lt;/strong&gt;&lt;span style="color: #008000;"&gt;&lt;em&gt;$164,425.45&lt;/em&gt;&lt;/span&gt;&lt;/p&gt;&lt;p&gt;&lt;strong&gt;Potential&lt;/strong&gt;:&amp;nbsp;85.02 to 91.02 points&lt;/p&gt;&lt;p&gt;&amp;nbsp;&lt;/p&gt;&lt;p&gt;&lt;span style="text-decoration: underline;"&gt;&lt;strong&gt;Bull&lt;/strong&gt;&lt;/span&gt;&lt;/p&gt;&lt;p&gt;&lt;strong&gt;ALL:&lt;/strong&gt; 5 outs 1 rides - &lt;span style="color: #ff0000;"&gt;&lt;em&gt;80%&lt;/em&gt;&lt;/span&gt;&lt;/p&gt;&lt;p&gt;&lt;em&gt;&lt;span style="color: #ff0000;"&gt;*No Previous Matchups&lt;/span&gt;&lt;/em&gt;&lt;/p&gt;&lt;p&gt;&amp;nbsp;&lt;/p&gt;</t>
  </si>
  <si>
    <t>12-2 (1)</t>
  </si>
  <si>
    <t>024 Wild Child(50890)</t>
  </si>
  <si>
    <t>HNH</t>
  </si>
  <si>
    <t>Trace Redd</t>
  </si>
  <si>
    <t>0.226 (8)</t>
  </si>
  <si>
    <t>Rider 25.00%</t>
  </si>
  <si>
    <t>&lt;h2&gt;Rider&lt;/h2&gt;&lt;p&gt;&lt;strong&gt;Career:&amp;nbsp;&lt;/strong&gt;Career: 63 for 235 - &lt;span style="color: #ff0000;"&gt;&lt;em&gt;26.81%&lt;/em&gt;&lt;/span&gt; - Rider Rating: .167&lt;/p&gt;&lt;p&gt;&lt;strong&gt;Season:&amp;nbsp;&lt;/strong&gt;Rank&amp;nbsp;&lt;span style="color: #ff0000;"&gt;37&lt;/span&gt; (5 for 22 - &lt;em&gt;22.7%&lt;/em&gt;)&lt;em&gt;&lt;br /&gt;&lt;/em&gt;&lt;/p&gt;&lt;p&gt;&lt;strong&gt;Points:&amp;nbsp;&lt;/strong&gt;87.00 pts &lt;span style="color: #ff0000;"&gt;&lt;em&gt;(-740.5)&lt;/em&gt;&lt;/span&gt;&lt;/p&gt;&lt;p&gt;&lt;strong&gt;Earnings:&amp;nbsp;&lt;/strong&gt;&lt;span style="color: #008000;"&gt;&lt;em&gt;$46,106.47&lt;/em&gt;&lt;/span&gt;&lt;/p&gt;&lt;p&gt;&lt;strong&gt;Potential&lt;/strong&gt;:&amp;nbsp;84.56 to 90.56 points&lt;/p&gt;&lt;p&gt;&amp;nbsp;&lt;/p&gt;&lt;p&gt;&lt;span style="text-decoration: underline;"&gt;&lt;strong&gt;Bull&lt;/strong&gt;&lt;/span&gt;&lt;/p&gt;&lt;p&gt;&lt;strong&gt;ALL:&lt;/strong&gt; 14 outs 2 rides - &lt;span style="color: #ff0000;"&gt;&lt;em&gt;85.71%&lt;/em&gt;&lt;/span&gt;&lt;/p&gt;&lt;p&gt;&lt;em&gt;&lt;span style="color: #ff0000;"&gt;Previous Matchup at Minot Nov '25 for 4.78 seconds resulting in no score&lt;/span&gt;&lt;/em&gt;&lt;/p&gt;&lt;p&gt;&amp;nbsp;&lt;/p&gt;</t>
  </si>
  <si>
    <t>3-0 (0)</t>
  </si>
  <si>
    <t>2221 Wingman(56045)</t>
  </si>
  <si>
    <t>Daniel Keeping</t>
  </si>
  <si>
    <t>0.294 (6)</t>
  </si>
  <si>
    <t>&lt;h2&gt;Rider&lt;/h2&gt;&lt;p&gt;&lt;strong&gt;Career:&amp;nbsp;&lt;/strong&gt;Career: 161 for 415 - &lt;span style="color: #ff0000;"&gt;&lt;em&gt;38.8%&lt;/em&gt;&lt;/span&gt; - Rider Rating: *.274&lt;/p&gt;&lt;p&gt;&lt;strong&gt;Season:&amp;nbsp;&lt;/strong&gt;Rank&amp;nbsp;&lt;span style="color: #ff0000;"&gt;19&lt;/span&gt; (32 for 69 - &lt;em&gt;46.4%&lt;/em&gt;)&lt;em&gt;&lt;br /&gt;&lt;/em&gt;&lt;/p&gt;&lt;p&gt;&lt;strong&gt;Points:&amp;nbsp;&lt;/strong&gt;247.00 pts &lt;span style="color: #ff0000;"&gt;&lt;em&gt;(-580.5)&lt;/em&gt;&lt;/span&gt;&lt;/p&gt;&lt;p&gt;&lt;strong&gt;Earnings:&amp;nbsp;&lt;/strong&gt;&lt;span style="color: #008000;"&gt;&lt;em&gt;$146,193.44&lt;/em&gt;&lt;/span&gt;&lt;/p&gt;&lt;p&gt;&lt;strong&gt;Potential&lt;/strong&gt;:&amp;nbsp;81.4 to 87.4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</si>
  <si>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4-9 (7)</t>
  </si>
  <si>
    <t>002 I Hate You(52122)</t>
  </si>
  <si>
    <t>HKNW</t>
  </si>
  <si>
    <t>Jose Vitor Leme</t>
  </si>
  <si>
    <t>0.545 (8)</t>
  </si>
  <si>
    <t>Bull 75.00%</t>
  </si>
  <si>
    <t>&lt;h2&gt;Rider&lt;/h2&gt;&lt;p&gt;&lt;strong&gt;Career:&amp;nbsp;&lt;/strong&gt;Career: 432 for 696 - &lt;span style="color: #ff0000;"&gt;&lt;em&gt;62.07%&lt;/em&gt;&lt;/span&gt; - Rider Rating: *.548&lt;/p&gt;&lt;p&gt;&lt;strong&gt;Season:&amp;nbsp;&lt;/strong&gt;Rank&amp;nbsp;&lt;span style="color: #ff0000;"&gt;28&lt;/span&gt; (22 for 41 - &lt;em&gt;53.7%&lt;/em&gt;)&lt;em&gt;&lt;br /&gt;&lt;/em&gt;&lt;/p&gt;&lt;p&gt;&lt;strong&gt;Points:&amp;nbsp;&lt;/strong&gt;181.50 pts &lt;span style="color: #ff0000;"&gt;&lt;em&gt;(-646)&lt;/em&gt;&lt;/span&gt;&lt;/p&gt;&lt;p&gt;&lt;strong&gt;Earnings:&amp;nbsp;&lt;/strong&gt;&lt;span style="color: #008000;"&gt;&lt;em&gt;$100,010.99&lt;/em&gt;&lt;/span&gt;&lt;/p&gt;&lt;p&gt;&lt;strong&gt;Potential&lt;/strong&gt;:&amp;nbsp;83.05 to 89.05 points&lt;/p&gt;&lt;p&gt;&amp;nbsp;&lt;/p&gt;&lt;p&gt;&lt;span style="text-decoration: underline;"&gt;&lt;strong&gt;Bull&lt;/strong&gt;&lt;/span&gt;&lt;/p&gt;&lt;p&gt;&lt;strong&gt;ALL:&lt;/strong&gt; 13 outs 9 rides - &lt;span style="color: #ff0000;"&gt;&lt;em&gt;30.77%&lt;/em&gt;&lt;/span&gt;&lt;/p&gt;&lt;p&gt;&lt;strong&gt;UTB:&lt;/strong&gt; 13 outs 9 rides - &lt;span style="color: #ff0000;"&gt;&lt;em&gt;30.77%&lt;/em&gt;&lt;/span&gt;&lt;/p&gt;&lt;p&gt;&lt;em&gt;&lt;span style="color: #ff0000;"&gt;*No Previous Matchups&lt;/span&gt;&lt;/em&gt;&lt;/p&gt;&lt;p&gt;&amp;nbsp;&lt;/p&gt;</t>
  </si>
  <si>
    <t>238 Frankenstomp(56542)</t>
  </si>
  <si>
    <t>Cort McFadden</t>
  </si>
  <si>
    <t>0.331 (5)</t>
  </si>
  <si>
    <t>&lt;h2&gt;Rider&lt;/h2&gt;&lt;p&gt;&lt;strong&gt;Career:&amp;nbsp;&lt;/strong&gt;Career: 128 for 282 - &lt;span style="color: #ff0000;"&gt;&lt;em&gt;45.39%&lt;/em&gt;&lt;/span&gt; - Rider Rating: *.325&lt;/p&gt;&lt;p&gt;&lt;strong&gt;Season:&amp;nbsp;&lt;/strong&gt;Rank&amp;nbsp;&lt;span style="color: #ff0000;"&gt;13&lt;/span&gt; (30 for 62 - &lt;em&gt;48.4%&lt;/em&gt;)&lt;em&gt;&lt;br /&gt;&lt;/em&gt;&lt;/p&gt;&lt;p&gt;&lt;strong&gt;Points:&amp;nbsp;&lt;/strong&gt;377.00 pts &lt;span style="color: #ff0000;"&gt;&lt;em&gt;(-450.5)&lt;/em&gt;&lt;/span&gt;&lt;/p&gt;&lt;p&gt;&lt;strong&gt;Earnings:&amp;nbsp;&lt;/strong&gt;&lt;span style="color: #008000;"&gt;&lt;em&gt;$120,727.18&lt;/em&gt;&lt;/span&gt;&lt;/p&gt;&lt;p&gt;&lt;strong&gt;Potential&lt;/strong&gt;:&amp;nbsp;-1 to 5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</si>
  <si>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36-5 (2)</t>
  </si>
  <si>
    <t>316 Spice(45407)</t>
  </si>
  <si>
    <t>TBKR</t>
  </si>
  <si>
    <t>Jadon Hayes</t>
  </si>
  <si>
    <t>0.143 (10)</t>
  </si>
  <si>
    <t>Bull 19.00%</t>
  </si>
  <si>
    <t>&lt;h2&gt;Rider&lt;/h2&gt;&lt;p&gt;&lt;strong&gt;Career:&amp;nbsp;&lt;/strong&gt;Career: 11 for 53 - &lt;span style="color: #ff0000;"&gt;&lt;em&gt;20.75%&lt;/em&gt;&lt;/span&gt; - Rider Rating: .119&lt;/p&gt;&lt;p&gt;&lt;strong&gt;Season:&amp;nbsp;&lt;/strong&gt;Rank&amp;nbsp;&lt;span style="color: #ff0000;"&gt;55&lt;/span&gt; (1 for 3 - &lt;em&gt;33.3%&lt;/em&gt;)&lt;em&gt;&lt;br /&gt;&lt;/em&gt;&lt;/p&gt;&lt;p&gt;&lt;strong&gt;Points:&amp;nbsp;&lt;/strong&gt;11.00 pts &lt;span style="color: #ff0000;"&gt;&lt;em&gt;(-816.5)&lt;/em&gt;&lt;/span&gt;&lt;/p&gt;&lt;p&gt;&lt;strong&gt;Earnings:&amp;nbsp;&lt;/strong&gt;&lt;span style="color: #008000;"&gt;&lt;em&gt;$450.00&lt;/em&gt;&lt;/span&gt;&lt;/p&gt;&lt;p&gt;&lt;strong&gt;Potential&lt;/strong&gt;:&amp;nbsp;84.23 to 90.23 points&lt;/p&gt;&lt;p&gt;&amp;nbsp;&lt;/p&gt;&lt;p&gt;&lt;span style="text-decoration: underline;"&gt;&lt;strong&gt;Bull&lt;/strong&gt;&lt;/span&gt;&lt;/p&gt;&lt;p&gt;&lt;strong&gt;ALL:&lt;/strong&gt; 41 outs 5 rides - &lt;span style="color: #ff0000;"&gt;&lt;em&gt;87.8%&lt;/em&gt;&lt;/span&gt;&lt;/p&gt;&lt;p&gt;&lt;strong&gt;UTB:&lt;/strong&gt; 28 outs 4 rides - &lt;span style="color: #ff0000;"&gt;&lt;em&gt;85.71%&lt;/em&gt;&lt;/span&gt;&lt;/p&gt;&lt;p&gt;&lt;em&gt;&lt;span style="color: #ff0000;"&gt;*No Previous Matchups&lt;/span&gt;&lt;/em&gt;&lt;/p&gt;&lt;p&gt;&amp;nbsp;&lt;/p&gt;</t>
  </si>
  <si>
    <t>13-4 (0)</t>
  </si>
  <si>
    <t>901 The Gambler(48463)</t>
  </si>
  <si>
    <t>BGR</t>
  </si>
  <si>
    <t>Joao Ricardo Vieira</t>
  </si>
  <si>
    <t>0.304 (9)</t>
  </si>
  <si>
    <t>Bull 5.00%</t>
  </si>
  <si>
    <t>&lt;h2&gt;Rider&lt;/h2&gt;&lt;p&gt;&lt;strong&gt;Career:&amp;nbsp;&lt;/strong&gt;Career: 599 for 1321 - &lt;span style="color: #ff0000;"&gt;&lt;em&gt;45.34%&lt;/em&gt;&lt;/span&gt; - Rider Rating: *.358&lt;/p&gt;&lt;p&gt;&lt;strong&gt;Season:&amp;nbsp;&lt;/strong&gt;Rank&amp;nbsp;&lt;span style="color: #ff0000;"&gt;36&lt;/span&gt; (18 for 50 - &lt;em&gt;36%&lt;/em&gt;)&lt;em&gt;&lt;br /&gt;&lt;/em&gt;&lt;/p&gt;&lt;p&gt;&lt;strong&gt;Points:&amp;nbsp;&lt;/strong&gt;92.50 pts &lt;span style="color: #ff0000;"&gt;&lt;em&gt;(-735)&lt;/em&gt;&lt;/span&gt;&lt;/p&gt;&lt;p&gt;&lt;strong&gt;Earnings:&amp;nbsp;&lt;/strong&gt;&lt;span style="color: #008000;"&gt;&lt;em&gt;$83,139.62&lt;/em&gt;&lt;/span&gt;&lt;/p&gt;&lt;p&gt;&lt;strong&gt;Potential&lt;/strong&gt;:&amp;nbsp;82 to 88 points&lt;/p&gt;&lt;p&gt;&amp;nbsp;&lt;/p&gt;&lt;p&gt;&lt;span style="text-decoration: underline;"&gt;&lt;strong&gt;Bull&lt;/strong&gt;&lt;/span&gt;&lt;/p&gt;&lt;p&gt;&lt;strong&gt;ALL:&lt;/strong&gt; 17 outs 4 rides - &lt;span style="color: #ff0000;"&gt;&lt;em&gt;76.47%&lt;/em&gt;&lt;/span&gt;&lt;/p&gt;&lt;p&gt;&lt;em&gt;&lt;span style="color: #ff0000;"&gt;*No Previous Matchups&lt;/span&gt;&lt;/em&gt;&lt;/p&gt;&lt;p&gt;&amp;nbsp;&lt;/p&gt;</t>
  </si>
  <si>
    <t>X1 Battle Tested(53635)</t>
  </si>
  <si>
    <t>TRN</t>
  </si>
  <si>
    <t>Macaulie Leather</t>
  </si>
  <si>
    <t>0.298 (6)</t>
  </si>
  <si>
    <t>&lt;h2&gt;Rider&lt;/h2&gt;&lt;p&gt;&lt;strong&gt;Career:&amp;nbsp;&lt;/strong&gt;Career: 33 for 78 - &lt;span style="color: #ff0000;"&gt;&lt;em&gt;42.31%&lt;/em&gt;&lt;/span&gt; - Rider Rating: *.226&lt;/p&gt;&lt;p&gt;&lt;strong&gt;Season:&amp;nbsp;&lt;/strong&gt;Rank&amp;nbsp;&lt;span style="color: #ff0000;"&gt;65&lt;/span&gt; (4 for 25 - &lt;em&gt;16%&lt;/em&gt;)&lt;em&gt;&lt;br /&gt;&lt;/em&gt;&lt;/p&gt;&lt;p&gt;&lt;strong&gt;Points:&amp;nbsp;&lt;/strong&gt;0.00 pts &lt;span style="color: #ff0000;"&gt;&lt;em&gt;(-827.5)&lt;/em&gt;&lt;/span&gt;&lt;/p&gt;&lt;p&gt;&lt;strong&gt;Earnings:&amp;nbsp;&lt;/strong&gt;&lt;span style="color: #008000;"&gt;&lt;em&gt;$68,632.98&lt;/em&gt;&lt;/span&gt;&lt;/p&gt;&lt;p&gt;&lt;strong&gt;Potential&lt;/strong&gt;:&amp;nbsp;85.33 to 91.33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</si>
  <si>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911 Swamp Donkey(56345)</t>
  </si>
  <si>
    <t>Natanael Serra Aires</t>
  </si>
  <si>
    <t>0.193 (6)</t>
  </si>
  <si>
    <t>&lt;h2&gt;Rider&lt;/h2&gt;&lt;p&gt;&lt;strong&gt;Career:&amp;nbsp;&lt;/strong&gt;Career: 5 for 42 - &lt;span style="color: #ff0000;"&gt;&lt;em&gt;11.9%&lt;/em&gt;&lt;/span&gt; - Rider Rating: unrated&lt;/p&gt;&lt;p&gt;&lt;strong&gt;Season:&amp;nbsp;&lt;/strong&gt;Rank&amp;nbsp;&lt;span style="color: #ff0000;"&gt;65&lt;/span&gt; (2 for 17 - &lt;em&gt;11.8%&lt;/em&gt;)&lt;em&gt;&lt;br /&gt;&lt;/em&gt;&lt;/p&gt;&lt;p&gt;&lt;strong&gt;Points:&amp;nbsp;&lt;/strong&gt;0.00 pts &lt;span style="color: #ff0000;"&gt;&lt;em&gt;(-827.5)&lt;/em&gt;&lt;/span&gt;&lt;/p&gt;&lt;p&gt;&lt;strong&gt;Earnings:&amp;nbsp;&lt;/strong&gt;&lt;span style="color: #008000;"&gt;&lt;em&gt;$33,036.89&lt;/em&gt;&lt;/span&gt;&lt;/p&gt;&lt;p&gt;&lt;strong&gt;Potential&lt;/strong&gt;:&amp;nbsp;83.7 to 89.7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</si>
  <si>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3-1 (0)</t>
  </si>
  <si>
    <t>236 Slim Pickens(55084)</t>
  </si>
  <si>
    <t>Sage Kimzey</t>
  </si>
  <si>
    <t>0.405 (6)</t>
  </si>
  <si>
    <t>&lt;h2&gt;Rider&lt;/h2&gt;&lt;p&gt;&lt;strong&gt;Career:&amp;nbsp;&lt;/strong&gt;Career: 767 for 1242 - &lt;span style="color: #ff0000;"&gt;&lt;em&gt;61.76%&lt;/em&gt;&lt;/span&gt; - Rider Rating: *.463&lt;/p&gt;&lt;p&gt;&lt;strong&gt;Season:&amp;nbsp;&lt;/strong&gt;Rank&amp;nbsp;&lt;span style="color: #ff0000;"&gt;2&lt;/span&gt; (40 for 70 - &lt;em&gt;57.1%&lt;/em&gt;)&lt;em&gt;&lt;br /&gt;&lt;/em&gt;&lt;/p&gt;&lt;p&gt;&lt;strong&gt;Points:&amp;nbsp;&lt;/strong&gt;679.00 pts &lt;span style="color: #ff0000;"&gt;&lt;em&gt;(-148.5)&lt;/em&gt;&lt;/span&gt;&lt;/p&gt;&lt;p&gt;&lt;strong&gt;Earnings:&amp;nbsp;&lt;/strong&gt;&lt;span style="color: #008000;"&gt;&lt;em&gt;$280,037.89&lt;/em&gt;&lt;/span&gt;&lt;/p&gt;&lt;p&gt;&lt;strong&gt;Potential&lt;/strong&gt;:&amp;nbsp;82.75 to 88.75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</si>
  <si>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47-5 (1)</t>
  </si>
  <si>
    <t>606 Smooth Steel(43263)</t>
  </si>
  <si>
    <t>Eric Henrique Domingos</t>
  </si>
  <si>
    <t>0.219 (10)</t>
  </si>
  <si>
    <t>Rider 6.00%</t>
  </si>
  <si>
    <t>&lt;h2&gt;Rider&lt;/h2&gt;&lt;p&gt;&lt;strong&gt;Career:&amp;nbsp;&lt;/strong&gt;Career: 46 for 132 - &lt;span style="color: #ff0000;"&gt;&lt;em&gt;34.85%&lt;/em&gt;&lt;/span&gt; - Rider Rating: .180&lt;/p&gt;&lt;p&gt;&lt;strong&gt;Season:&amp;nbsp;&lt;/strong&gt;Rank&amp;nbsp;&lt;span style="color: #ff0000;"&gt;65&lt;/span&gt; (6 for 26 - &lt;em&gt;23.1%&lt;/em&gt;)&lt;em&gt;&lt;br /&gt;&lt;/em&gt;&lt;/p&gt;&lt;p&gt;&lt;strong&gt;Points:&amp;nbsp;&lt;/strong&gt;0.00 pts &lt;span style="color: #ff0000;"&gt;&lt;em&gt;(-827.5)&lt;/em&gt;&lt;/span&gt;&lt;/p&gt;&lt;p&gt;&lt;strong&gt;Earnings:&amp;nbsp;&lt;/strong&gt;&lt;span style="color: #008000;"&gt;&lt;em&gt;$47,848.27&lt;/em&gt;&lt;/span&gt;&lt;/p&gt;&lt;p&gt;&lt;strong&gt;Potential&lt;/strong&gt;:&amp;nbsp;85.27 to 91.27 points&lt;/p&gt;&lt;p&gt;&amp;nbsp;&lt;/p&gt;&lt;p&gt;&lt;span style="text-decoration: underline;"&gt;&lt;strong&gt;Bull&lt;/strong&gt;&lt;/span&gt;&lt;/p&gt;&lt;p&gt;&lt;strong&gt;ALL:&lt;/strong&gt; 52 outs 5 rides - &lt;span style="color: #ff0000;"&gt;&lt;em&gt;90.38%&lt;/em&gt;&lt;/span&gt;&lt;/p&gt;&lt;p&gt;&lt;strong&gt;UTB:&lt;/strong&gt; 40 outs 4 rides - &lt;span style="color: #ff0000;"&gt;&lt;em&gt;90%&lt;/em&gt;&lt;/span&gt;&lt;/p&gt;&lt;p&gt;&lt;em&gt;&lt;span style="color: #ff0000;"&gt;*No Previous Matchups&lt;/span&gt;&lt;/em&gt;&lt;/p&gt;&lt;p&gt;&amp;nbsp;&lt;/p&gt;</t>
  </si>
  <si>
    <t>28-2 (0)</t>
  </si>
  <si>
    <t>07 Irish Car Bomb(50683)</t>
  </si>
  <si>
    <t>Kaique Pacheco</t>
  </si>
  <si>
    <t>0.342 (10)</t>
  </si>
  <si>
    <t>Rider 2.00%</t>
  </si>
  <si>
    <t>&lt;h2&gt;Rider&lt;/h2&gt;&lt;p&gt;&lt;strong&gt;Career:&amp;nbsp;&lt;/strong&gt;Career: 514 for 1038 - &lt;span style="color: #ff0000;"&gt;&lt;em&gt;49.52%&lt;/em&gt;&lt;/span&gt; - Rider Rating: *.401&lt;/p&gt;&lt;p&gt;&lt;strong&gt;Season:&amp;nbsp;&lt;/strong&gt;Rank&amp;nbsp;&lt;span style="color: #ff0000;"&gt;27&lt;/span&gt; (21 for 51 - &lt;em&gt;41.2%&lt;/em&gt;)&lt;em&gt;&lt;br /&gt;&lt;/em&gt;&lt;/p&gt;&lt;p&gt;&lt;strong&gt;Points:&amp;nbsp;&lt;/strong&gt;195.50 pts &lt;span style="color: #ff0000;"&gt;&lt;em&gt;(-632)&lt;/em&gt;&lt;/span&gt;&lt;/p&gt;&lt;p&gt;&lt;strong&gt;Earnings:&amp;nbsp;&lt;/strong&gt;&lt;span style="color: #008000;"&gt;&lt;em&gt;$61,266.76&lt;/em&gt;&lt;/span&gt;&lt;/p&gt;&lt;p&gt;&lt;strong&gt;Potential&lt;/strong&gt;:&amp;nbsp;83.22 to 89.22 points&lt;/p&gt;&lt;p&gt;&amp;nbsp;&lt;/p&gt;&lt;p&gt;&lt;span style="text-decoration: underline;"&gt;&lt;strong&gt;Bull&lt;/strong&gt;&lt;/span&gt;&lt;/p&gt;&lt;p&gt;&lt;strong&gt;ALL:&lt;/strong&gt; 30 outs 2 rides - &lt;span style="color: #ff0000;"&gt;&lt;em&gt;93.33%&lt;/em&gt;&lt;/span&gt;&lt;/p&gt;&lt;p&gt;&lt;strong&gt;UTB:&lt;/strong&gt; 5 outs 0 rides - &lt;span style="color: #ff0000;"&gt;&lt;em&gt;100%&lt;/em&gt;&lt;/span&gt;&lt;/p&gt;&lt;p&gt;&lt;em&gt;&lt;span style="color: #ff0000;"&gt;*No Previous Matchups&lt;/span&gt;&lt;/em&gt;&lt;/p&gt;&lt;p&gt;&amp;nbsp;&lt;/p&gt;</t>
  </si>
  <si>
    <t>2-1 (0)</t>
  </si>
  <si>
    <t>X13 Semi Sober(53634)</t>
  </si>
  <si>
    <t>Marcelo De Souza Dias Junior</t>
  </si>
  <si>
    <t>0.238 (6)</t>
  </si>
  <si>
    <t>43K Koopatroopa(55693)</t>
  </si>
  <si>
    <t>Callum Miller</t>
  </si>
  <si>
    <t>0.196 (6)</t>
  </si>
  <si>
    <t>&lt;h2&gt;Rider&lt;/h2&gt;&lt;p&gt;&lt;strong&gt;Career:&amp;nbsp;&lt;/strong&gt;Career: 128 for 440 - &lt;span style="color: #ff0000;"&gt;&lt;em&gt;29.09%&lt;/em&gt;&lt;/span&gt; - Rider Rating: .187&lt;/p&gt;&lt;p&gt;&lt;strong&gt;Season:&amp;nbsp;&lt;/strong&gt;Rank&amp;nbsp;&lt;span style="color: #ff0000;"&gt;25&lt;/span&gt; (21 for 56 - &lt;em&gt;37.5%&lt;/em&gt;)&lt;em&gt;&lt;br /&gt;&lt;/em&gt;&lt;/p&gt;&lt;p&gt;&lt;strong&gt;Points:&amp;nbsp;&lt;/strong&gt;209.00 pts &lt;span style="color: #ff0000;"&gt;&lt;em&gt;(-618.5)&lt;/em&gt;&lt;/span&gt;&lt;/p&gt;&lt;p&gt;&lt;strong&gt;Earnings:&amp;nbsp;&lt;/strong&gt;&lt;span style="color: #008000;"&gt;&lt;em&gt;$103,263.47&lt;/em&gt;&lt;/span&gt;&lt;/p&gt;&lt;p&gt;&lt;strong&gt;Potential&lt;/strong&gt;:&amp;nbsp;81.53 to 87.53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</si>
  <si>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29-12 (11)</t>
  </si>
  <si>
    <t>H19 Magic Touch(52004)</t>
  </si>
  <si>
    <t>Bruno Roberto</t>
  </si>
  <si>
    <t>0.337 (9)</t>
  </si>
  <si>
    <t>Rider 34.00%</t>
  </si>
  <si>
    <t>&lt;h2&gt;Rider&lt;/h2&gt;&lt;p&gt;&lt;strong&gt;Career:&amp;nbsp;&lt;/strong&gt;Career: 12 for 43 - &lt;span style="color: #ff0000;"&gt;&lt;em&gt;27.91%&lt;/em&gt;&lt;/span&gt; - Rider Rating: unrated&lt;/p&gt;&lt;p&gt;&lt;strong&gt;Potential&lt;/strong&gt;:&amp;nbsp;86.95 to 92.95 points&lt;/p&gt;&lt;p&gt;&amp;nbsp;&lt;/p&gt;&lt;p&gt;&lt;span style="text-decoration: underline;"&gt;&lt;strong&gt;Bull&lt;/strong&gt;&lt;/span&gt;&lt;/p&gt;&lt;p&gt;&lt;strong&gt;ALL:&lt;/strong&gt; 41 outs 12 rides - &lt;span style="color: #ff0000;"&gt;&lt;em&gt;70.73%&lt;/em&gt;&lt;/span&gt;&lt;/p&gt;&lt;p&gt;&lt;strong&gt;UTB:&lt;/strong&gt; 14 outs 5 rides - &lt;span style="color: #ff0000;"&gt;&lt;em&gt;64.29%&lt;/em&gt;&lt;/span&gt;&lt;/p&gt;&lt;p&gt;&lt;em&gt;&lt;span style="color: #ff0000;"&gt;*No Previous Matchups&lt;/span&gt;&lt;/em&gt;&lt;/p&gt;&lt;p&gt;&amp;nbsp;&lt;/p&gt;</t>
  </si>
  <si>
    <t>K9 Sergeant Stubby(56543)</t>
  </si>
  <si>
    <t>Lucas Divino</t>
  </si>
  <si>
    <t>0.270 (5)</t>
  </si>
  <si>
    <t>&lt;h2&gt;Rider&lt;/h2&gt;&lt;p&gt;&lt;strong&gt;Career:&amp;nbsp;&lt;/strong&gt;Career: 230 for 598 - &lt;span style="color: #ff0000;"&gt;&lt;em&gt;38.46%&lt;/em&gt;&lt;/span&gt; - Rider Rating: *.303&lt;/p&gt;&lt;p&gt;&lt;strong&gt;Season:&amp;nbsp;&lt;/strong&gt;Rank&amp;nbsp;&lt;span style="color: #ff0000;"&gt;34&lt;/span&gt; (17 for 48 - &lt;em&gt;35.4%&lt;/em&gt;)&lt;em&gt;&lt;br /&gt;&lt;/em&gt;&lt;/p&gt;&lt;p&gt;&lt;strong&gt;Points:&amp;nbsp;&lt;/strong&gt;123.00 pts &lt;span style="color: #ff0000;"&gt;&lt;em&gt;(-704.5)&lt;/em&gt;&lt;/span&gt;&lt;/p&gt;&lt;p&gt;&lt;strong&gt;Earnings:&amp;nbsp;&lt;/strong&gt;&lt;span style="color: #008000;"&gt;&lt;em&gt;$75,309.34&lt;/em&gt;&lt;/span&gt;&lt;/p&gt;&lt;p&gt;&lt;strong&gt;Potential&lt;/strong&gt;:&amp;nbsp;-1 to 5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</si>
  <si>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16-6 (2)</t>
  </si>
  <si>
    <t>40-9 No Socks(47812)</t>
  </si>
  <si>
    <t>RLCC</t>
  </si>
  <si>
    <t>Andy Guzman</t>
  </si>
  <si>
    <t>0.282 (9)</t>
  </si>
  <si>
    <t>Rider 30.00%</t>
  </si>
  <si>
    <t>&lt;h2&gt;Rider&lt;/h2&gt;&lt;p&gt;&lt;strong&gt;Career:&amp;nbsp;&lt;/strong&gt;Career: 51 for 220 - &lt;span style="color: #ff0000;"&gt;&lt;em&gt;23.18%&lt;/em&gt;&lt;/span&gt; - Rider Rating: .120&lt;/p&gt;&lt;p&gt;&lt;strong&gt;Season:&amp;nbsp;&lt;/strong&gt;Rank&amp;nbsp;&lt;span style="color: #ff0000;"&gt;40&lt;/span&gt; (4 for 28 - &lt;em&gt;14.3%&lt;/em&gt;)&lt;em&gt;&lt;br /&gt;&lt;/em&gt;&lt;/p&gt;&lt;p&gt;&lt;strong&gt;Points:&amp;nbsp;&lt;/strong&gt;78.00 pts &lt;span style="color: #ff0000;"&gt;&lt;em&gt;(-749.5)&lt;/em&gt;&lt;/span&gt;&lt;/p&gt;&lt;p&gt;&lt;strong&gt;Earnings:&amp;nbsp;&lt;/strong&gt;&lt;span style="color: #008000;"&gt;&lt;em&gt;$11,550.00&lt;/em&gt;&lt;/span&gt;&lt;/p&gt;&lt;p&gt;&lt;strong&gt;Potential&lt;/strong&gt;:&amp;nbsp;83.73 to 89.73 points&lt;/p&gt;&lt;p&gt;&amp;nbsp;&lt;/p&gt;&lt;p&gt;&lt;span style="text-decoration: underline;"&gt;&lt;strong&gt;Bull&lt;/strong&gt;&lt;/span&gt;&lt;/p&gt;&lt;p&gt;&lt;strong&gt;ALL:&lt;/strong&gt; 22 outs 6 rides - &lt;span style="color: #ff0000;"&gt;&lt;em&gt;72.73%&lt;/em&gt;&lt;/span&gt;&lt;/p&gt;&lt;p&gt;&lt;strong&gt;UTB:&lt;/strong&gt; 6 outs 6 rides - &lt;span style="color: #ff0000;"&gt;&lt;em&gt;0%&lt;/em&gt;&lt;/span&gt;&lt;/p&gt;&lt;p&gt;&lt;em&gt;&lt;span style="color: #ff0000;"&gt;*No Previous Matchups&lt;/span&gt;&lt;/em&gt;&lt;/p&gt;&lt;p&gt;&amp;nbsp;&lt;/p&gt;</t>
  </si>
  <si>
    <t>3-2 (0)</t>
  </si>
  <si>
    <t>28 King Cobra(52618)</t>
  </si>
  <si>
    <t>Dener Barbosa</t>
  </si>
  <si>
    <t>0.484 (7)</t>
  </si>
  <si>
    <t>&lt;h2&gt;Rider&lt;/h2&gt;&lt;p&gt;&lt;strong&gt;Career:&amp;nbsp;&lt;/strong&gt;Career: 379 for 758 - &lt;span style="color: #ff0000;"&gt;&lt;em&gt;50%&lt;/em&gt;&lt;/span&gt; - Rider Rating: *.367&lt;/p&gt;&lt;p&gt;&lt;strong&gt;Season:&amp;nbsp;&lt;/strong&gt;Rank&amp;nbsp;&lt;span style="color: #ff0000;"&gt;42&lt;/span&gt; (15 for 35 - &lt;em&gt;42.9%&lt;/em&gt;)&lt;em&gt;&lt;br /&gt;&lt;/em&gt;&lt;/p&gt;&lt;p&gt;&lt;strong&gt;Points:&amp;nbsp;&lt;/strong&gt;64.00 pts &lt;span style="color: #ff0000;"&gt;&lt;em&gt;(-763.5)&lt;/em&gt;&lt;/span&gt;&lt;/p&gt;&lt;p&gt;&lt;strong&gt;Earnings:&amp;nbsp;&lt;/strong&gt;&lt;span style="color: #008000;"&gt;&lt;em&gt;$92,803.57&lt;/em&gt;&lt;/span&gt;&lt;/p&gt;&lt;p&gt;&lt;strong&gt;Potential&lt;/strong&gt;:&amp;nbsp;83.1 to 89.1 points&lt;/p&gt;&lt;p&gt;&amp;nbsp;&lt;/p&gt;&lt;p&gt;&lt;span style="text-decoration: underline;"&gt;&lt;strong&gt;Bull&lt;/strong&gt;&lt;/span&gt;&lt;/p&gt;&lt;p&gt;&lt;strong&gt;ALL:&lt;/strong&gt; 5 outs 2 rides - &lt;span style="color: #ff0000;"&gt;&lt;em&gt;60%&lt;/em&gt;&lt;/span&gt;&lt;/p&gt;&lt;p&gt;&lt;em&gt;&lt;span style="color: #ff0000;"&gt;*No Previous Matchups&lt;/span&gt;&lt;/em&gt;&lt;/p&gt;&lt;p&gt;&amp;nbsp;&lt;/p&gt;</t>
  </si>
  <si>
    <t>40-7 (5)</t>
  </si>
  <si>
    <t>808 Miller Time(47325)</t>
  </si>
  <si>
    <t>BSCC</t>
  </si>
  <si>
    <t>Koltin Hevalow</t>
  </si>
  <si>
    <t>0.220 (10)</t>
  </si>
  <si>
    <t>Bull 23.00%</t>
  </si>
  <si>
    <t>&lt;h2&gt;Rider&lt;/h2&gt;&lt;p&gt;&lt;strong&gt;Career:&amp;nbsp;&lt;/strong&gt;Career: 154 for 414 - &lt;span style="color: #ff0000;"&gt;&lt;em&gt;37.2%&lt;/em&gt;&lt;/span&gt; - Rider Rating: *.268&lt;/p&gt;&lt;p&gt;&lt;strong&gt;Season:&amp;nbsp;&lt;/strong&gt;Rank&amp;nbsp;&lt;span style="color: #ff0000;"&gt;20&lt;/span&gt; (35 for 78 - &lt;em&gt;44.9%&lt;/em&gt;)&lt;em&gt;&lt;br /&gt;&lt;/em&gt;&lt;/p&gt;&lt;p&gt;&lt;strong&gt;Points:&amp;nbsp;&lt;/strong&gt;246.50 pts &lt;span style="color: #ff0000;"&gt;&lt;em&gt;(-581)&lt;/em&gt;&lt;/span&gt;&lt;/p&gt;&lt;p&gt;&lt;strong&gt;Earnings:&amp;nbsp;&lt;/strong&gt;&lt;span style="color: #008000;"&gt;&lt;em&gt;$123,646.04&lt;/em&gt;&lt;/span&gt;&lt;/p&gt;&lt;p&gt;&lt;strong&gt;Potential&lt;/strong&gt;:&amp;nbsp;84.6 to 90.6 points&lt;/p&gt;&lt;p&gt;&amp;nbsp;&lt;/p&gt;&lt;p&gt;&lt;span style="text-decoration: underline;"&gt;&lt;strong&gt;Bull&lt;/strong&gt;&lt;/span&gt;&lt;/p&gt;&lt;p&gt;&lt;strong&gt;ALL:&lt;/strong&gt; 47 outs 7 rides - &lt;span style="color: #ff0000;"&gt;&lt;em&gt;85.11%&lt;/em&gt;&lt;/span&gt;&lt;/p&gt;&lt;p&gt;&lt;strong&gt;UTB:&lt;/strong&gt; 43 outs 7 rides - &lt;span style="color: #ff0000;"&gt;&lt;em&gt;83.72%&lt;/em&gt;&lt;/span&gt;&lt;/p&gt;&lt;p&gt;&lt;em&gt;&lt;span style="color: #ff0000;"&gt;*No Previous Matchups&lt;/span&gt;&lt;/em&gt;&lt;/p&gt;&lt;p&gt;&amp;nbsp;&lt;/p&gt;</t>
  </si>
  <si>
    <t>257 Heavens Hitman(56319)</t>
  </si>
  <si>
    <t>Vinicius Pinheiro Correa</t>
  </si>
  <si>
    <t>0.309 (6)</t>
  </si>
  <si>
    <t>&lt;h2&gt;Rider&lt;/h2&gt;&lt;p&gt;&lt;strong&gt;Career:&amp;nbsp;&lt;/strong&gt;Career: 44 for 121 - &lt;span style="color: #ff0000;"&gt;&lt;em&gt;36.36%&lt;/em&gt;&lt;/span&gt; - Rider Rating: *.217&lt;/p&gt;&lt;p&gt;&lt;strong&gt;Season:&amp;nbsp;&lt;/strong&gt;Rank&amp;nbsp;&lt;span style="color: #ff0000;"&gt;65&lt;/span&gt; (1 for 3 - &lt;em&gt;33.3%&lt;/em&gt;)&lt;em&gt;&lt;br /&gt;&lt;/em&gt;&lt;/p&gt;&lt;p&gt;&lt;strong&gt;Points:&amp;nbsp;&lt;/strong&gt;0.00 pts &lt;span style="color: #ff0000;"&gt;&lt;em&gt;(-827.5)&lt;/em&gt;&lt;/span&gt;&lt;/p&gt;&lt;p&gt;&lt;strong&gt;Earnings:&amp;nbsp;&lt;/strong&gt;&lt;span style="color: #008000;"&gt;&lt;em&gt;$15,572.53&lt;/em&gt;&lt;/span&gt;&lt;/p&gt;&lt;p&gt;&lt;strong&gt;Potential&lt;/strong&gt;:&amp;nbsp;83.75 to 89.75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</si>
  <si>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9-3 (2)</t>
  </si>
  <si>
    <t>35 Black Eyes(52178)</t>
  </si>
  <si>
    <t>Cassio Dias</t>
  </si>
  <si>
    <t>0.506 (8)</t>
  </si>
  <si>
    <t>Rider 60.00%</t>
  </si>
  <si>
    <t>&lt;h2&gt;Rider&lt;/h2&gt;&lt;p&gt;&lt;strong&gt;Career:&amp;nbsp;&lt;/strong&gt;Career: 123 for 246 - &lt;span style="color: #ff0000;"&gt;&lt;em&gt;50%&lt;/em&gt;&lt;/span&gt; - Rider Rating: *.407&lt;/p&gt;&lt;p&gt;&lt;strong&gt;Season:&amp;nbsp;&lt;/strong&gt;Rank&amp;nbsp;&lt;span style="color: #ff0000;"&gt;21&lt;/span&gt; (11 for 42 - &lt;em&gt;26.2%&lt;/em&gt;)&lt;em&gt;&lt;br /&gt;&lt;/em&gt;&lt;/p&gt;&lt;p&gt;&lt;strong&gt;Points:&amp;nbsp;&lt;/strong&gt;244.50 pts &lt;span style="color: #ff0000;"&gt;&lt;em&gt;(-583)&lt;/em&gt;&lt;/span&gt;&lt;/p&gt;&lt;p&gt;&lt;strong&gt;Earnings:&amp;nbsp;&lt;/strong&gt;&lt;span style="color: #008000;"&gt;&lt;em&gt;$90,257.28&lt;/em&gt;&lt;/span&gt;&lt;/p&gt;&lt;p&gt;&lt;strong&gt;Potential&lt;/strong&gt;:&amp;nbsp;85.73 to 91.73 points&lt;/p&gt;&lt;p&gt;&amp;nbsp;&lt;/p&gt;&lt;p&gt;&lt;span style="text-decoration: underline;"&gt;&lt;strong&gt;Bull&lt;/strong&gt;&lt;/span&gt;&lt;/p&gt;&lt;p&gt;&lt;strong&gt;ALL:&lt;/strong&gt; 12 outs 3 rides - &lt;span style="color: #ff0000;"&gt;&lt;em&gt;75%&lt;/em&gt;&lt;/span&gt;&lt;/p&gt;&lt;p&gt;&lt;em&gt;&lt;span style="color: #ff0000;"&gt;*No Previous Matchups&lt;/span&gt;&lt;/em&gt;&lt;/p&gt;&lt;p&gt;&amp;nbsp;&lt;/p&gt;</t>
  </si>
  <si>
    <t>9-7 (2)</t>
  </si>
  <si>
    <t>185 Noslaw ExtraSauce(54035)</t>
  </si>
  <si>
    <t>Dalton Kasel</t>
  </si>
  <si>
    <t>0.541 (9)</t>
  </si>
  <si>
    <t>Rider 57.00%</t>
  </si>
  <si>
    <t>&lt;h2&gt;Rider&lt;/h2&gt;&lt;p&gt;&lt;strong&gt;Career:&amp;nbsp;&lt;/strong&gt;Career: 258 for 576 - &lt;span style="color: #ff0000;"&gt;&lt;em&gt;44.79%&lt;/em&gt;&lt;/span&gt; - Rider Rating: *.372&lt;/p&gt;&lt;p&gt;&lt;strong&gt;Season:&amp;nbsp;&lt;/strong&gt;Rank&amp;nbsp;&lt;span style="color: #ff0000;"&gt;6&lt;/span&gt; (36 for 66 - &lt;em&gt;54.5%&lt;/em&gt;)&lt;em&gt;&lt;br /&gt;&lt;/em&gt;&lt;/p&gt;&lt;p&gt;&lt;strong&gt;Points:&amp;nbsp;&lt;/strong&gt;488.50 pts &lt;span style="color: #ff0000;"&gt;&lt;em&gt;(-339)&lt;/em&gt;&lt;/span&gt;&lt;/p&gt;&lt;p&gt;&lt;strong&gt;Earnings:&amp;nbsp;&lt;/strong&gt;&lt;span style="color: #008000;"&gt;&lt;em&gt;$252,397.78&lt;/em&gt;&lt;/span&gt;&lt;/p&gt;&lt;p&gt;&lt;strong&gt;Potential&lt;/strong&gt;:&amp;nbsp;83.74 to 89.74 points&lt;/p&gt;&lt;p&gt;&amp;nbsp;&lt;/p&gt;&lt;p&gt;&lt;span style="text-decoration: underline;"&gt;&lt;strong&gt;Bull&lt;/strong&gt;&lt;/span&gt;&lt;/p&gt;&lt;p&gt;&lt;strong&gt;ALL:&lt;/strong&gt; 16 outs 7 rides - &lt;span style="color: #ff0000;"&gt;&lt;em&gt;56.25%&lt;/em&gt;&lt;/span&gt;&lt;/p&gt;&lt;p&gt;&lt;strong&gt;UTB:&lt;/strong&gt; 13 outs 7 rides - &lt;span style="color: #ff0000;"&gt;&lt;em&gt;46.15%&lt;/em&gt;&lt;/span&gt;&lt;/p&gt;&lt;p&gt;&lt;em&gt;&lt;span style="color: #ff0000;"&gt;*No Previous Matchups&lt;/span&gt;&lt;/em&gt;&lt;/p&gt;&lt;p&gt;&amp;nbsp;&lt;/p&gt;</t>
  </si>
  <si>
    <t>Chute Clock Foul</t>
  </si>
  <si>
    <t>Chute  contact challenge; shawn ramirez; Successful challeange</t>
  </si>
  <si>
    <t>CA</t>
  </si>
  <si>
    <t>.02 off 8 (granted auto challenge)</t>
  </si>
  <si>
    <t>RR</t>
  </si>
  <si>
    <t>wow lots of rides in a row,shits on lucas theodoro the bull fighter who is hurt</t>
  </si>
  <si>
    <t>Danny keep gets his 100th ride after 19 hour ride</t>
  </si>
  <si>
    <t>hand up in the chute goes down quick id challenge, hed challenge and it makes sense, should be a reride, lets see what ramirez says; awarded a reride from obvious contact</t>
  </si>
  <si>
    <t>New bull 4 years old; Big SHOTT spins in the chute and it looks like it will be an auto ride as it .03 away. Auto review; spins hard in chute keeps intensity; ramirez calls it clearly a ride</t>
  </si>
  <si>
    <t>X</t>
  </si>
  <si>
    <t>9-0 (0)</t>
  </si>
  <si>
    <t>UTB-TAC</t>
  </si>
  <si>
    <t>0.247 (7)</t>
  </si>
  <si>
    <t>0-1 (0)</t>
  </si>
  <si>
    <t>0.371 (6)</t>
  </si>
  <si>
    <t>3-2 (1)</t>
  </si>
  <si>
    <t>065J Uncle Doc(54130)</t>
  </si>
  <si>
    <t>HWKN</t>
  </si>
  <si>
    <t>0.343 (7)</t>
  </si>
  <si>
    <t>15-16 (6)</t>
  </si>
  <si>
    <t>048 Rank Hank(51428)</t>
  </si>
  <si>
    <t>Grayson Cole</t>
  </si>
  <si>
    <t>0.266 (10)</t>
  </si>
  <si>
    <t>53 Keystone(56381)</t>
  </si>
  <si>
    <t>CLPB</t>
  </si>
  <si>
    <t>Vinicius Rodrigues Pereira</t>
  </si>
  <si>
    <t>Ednelio Rodrigues</t>
  </si>
  <si>
    <t>0.177 (7)</t>
  </si>
  <si>
    <t>7-5 (1)</t>
  </si>
  <si>
    <t>22J Average Joe(53419)</t>
  </si>
  <si>
    <t>0.320 (8)</t>
  </si>
  <si>
    <t>C1 Me More Cowboy(56047)</t>
  </si>
  <si>
    <t>0.514 (6)</t>
  </si>
  <si>
    <t>230 Dance Monkey(55809)</t>
  </si>
  <si>
    <t>DMDC</t>
  </si>
  <si>
    <t>Ramon Fiorini</t>
  </si>
  <si>
    <t>0.247 (6)</t>
  </si>
  <si>
    <t>1710 Taco Truck(56578)</t>
  </si>
  <si>
    <t>0.357 (5)</t>
  </si>
  <si>
    <t>102 Wreck It Ralph(56236)</t>
  </si>
  <si>
    <t>THCC</t>
  </si>
  <si>
    <t>0.242 (6)</t>
  </si>
  <si>
    <t>22-14 (6)</t>
  </si>
  <si>
    <t>95J Alakazoo(51896)</t>
  </si>
  <si>
    <t>FFRF</t>
  </si>
  <si>
    <t>Eric Novoa</t>
  </si>
  <si>
    <t>0.343 (10)</t>
  </si>
  <si>
    <t>5-9 (2)</t>
  </si>
  <si>
    <t>X26 Real Deal(52820)</t>
  </si>
  <si>
    <t>0.645 (8)</t>
  </si>
  <si>
    <t>9-4 (1)</t>
  </si>
  <si>
    <t>61G Big Timber(50989)</t>
  </si>
  <si>
    <t>0.299 (8)</t>
  </si>
  <si>
    <t>7-10 (4)</t>
  </si>
  <si>
    <t>120 Smooth Violation(54227)</t>
  </si>
  <si>
    <t>0.483 (9)</t>
  </si>
  <si>
    <t>7-3 (2)</t>
  </si>
  <si>
    <t>-1K Johnny Dang(54171)</t>
  </si>
  <si>
    <t>0.431 (8)</t>
  </si>
  <si>
    <t>26-4 (1)</t>
  </si>
  <si>
    <t>67 Benjamin Ranklin(51690)</t>
  </si>
  <si>
    <t>0.369 (10)</t>
  </si>
  <si>
    <t>15-12 (4)</t>
  </si>
  <si>
    <t>816 Bad Bob(53018)</t>
  </si>
  <si>
    <t>D4CC</t>
  </si>
  <si>
    <t>0.521 (10)</t>
  </si>
  <si>
    <t>956G Sucker Punch(47941)</t>
  </si>
  <si>
    <t>0.408 (8)</t>
  </si>
  <si>
    <t>0160 Level Up(53535)</t>
  </si>
  <si>
    <t>0.457 (8)</t>
  </si>
  <si>
    <t>26-1 (0)</t>
  </si>
  <si>
    <t>2719 Unhinged(49727)</t>
  </si>
  <si>
    <t>WI</t>
  </si>
  <si>
    <t>0.163 (10)</t>
  </si>
  <si>
    <t>1-0 (0)</t>
  </si>
  <si>
    <t>0.334 (6)</t>
  </si>
  <si>
    <t>25-8 (6)</t>
  </si>
  <si>
    <t>68E Oreo(44656)</t>
  </si>
  <si>
    <t>0.213 (10)</t>
  </si>
  <si>
    <t>19-4 (3)</t>
  </si>
  <si>
    <t>0498 Long Gone(50380)</t>
  </si>
  <si>
    <t>0.223 (9)</t>
  </si>
  <si>
    <t>9-1 (1)</t>
  </si>
  <si>
    <t>891F Testified(53892)</t>
  </si>
  <si>
    <t>PGAO</t>
  </si>
  <si>
    <t>0.270 (8)</t>
  </si>
  <si>
    <t>10-5 (0)</t>
  </si>
  <si>
    <t>102 Cracky Chan(53319)</t>
  </si>
  <si>
    <t>Thiago Salgado</t>
  </si>
  <si>
    <t>0.390 (9)</t>
  </si>
  <si>
    <t>52-22 (12)</t>
  </si>
  <si>
    <t>829 Ugly This(48315)</t>
  </si>
  <si>
    <t>CMCY</t>
  </si>
  <si>
    <t>Daylon Swearingen</t>
  </si>
  <si>
    <t>0.480 (10)</t>
  </si>
  <si>
    <t>8-0 (0)</t>
  </si>
  <si>
    <t>02K Smoke Screen(54209)</t>
  </si>
  <si>
    <t>Andrew Alvidrez</t>
  </si>
  <si>
    <t>0.209 (7)</t>
  </si>
  <si>
    <t>26-3 (1)</t>
  </si>
  <si>
    <t>071H Apple Juicing(51949)</t>
  </si>
  <si>
    <t>0.364 (10)</t>
  </si>
  <si>
    <t>38K Masterpiece(56577)</t>
  </si>
  <si>
    <t>0.337 (5)</t>
  </si>
  <si>
    <t>10-7 (4)</t>
  </si>
  <si>
    <t>012H Sunrise(53617)</t>
  </si>
  <si>
    <t>0.542 (9)</t>
  </si>
  <si>
    <t>4-6 (2)</t>
  </si>
  <si>
    <t>106 MF Darkside(55454)</t>
  </si>
  <si>
    <t>Romario Leite</t>
  </si>
  <si>
    <t>0.389 (8)</t>
  </si>
  <si>
    <t>0.297 (6)</t>
  </si>
  <si>
    <t>20-7 (4)</t>
  </si>
  <si>
    <t>Alan de Souza</t>
  </si>
  <si>
    <t>0.368 (10)</t>
  </si>
  <si>
    <t>1-2 (1)</t>
  </si>
  <si>
    <t>0.368 (6)</t>
  </si>
  <si>
    <t>17-7 (1)</t>
  </si>
  <si>
    <t>54E Carlos Danger(45633)</t>
  </si>
  <si>
    <t>0.385 (9)</t>
  </si>
  <si>
    <t>8-9 (3)</t>
  </si>
  <si>
    <t>128J Love County(53773)</t>
  </si>
  <si>
    <t>0.467 (9)</t>
  </si>
  <si>
    <t>6-1 (1)</t>
  </si>
  <si>
    <t>937 Whacky Wizard(52929)</t>
  </si>
  <si>
    <t>PPHT</t>
  </si>
  <si>
    <t>0.249 (7)</t>
  </si>
  <si>
    <t>6-1 (0)</t>
  </si>
  <si>
    <t>7030 After Hours(47126)</t>
  </si>
  <si>
    <t>XVJB</t>
  </si>
  <si>
    <t>0.156 (7)</t>
  </si>
  <si>
    <t>18-13 (8)</t>
  </si>
  <si>
    <t>567 Body Roc(51996)</t>
  </si>
  <si>
    <t>0.423 (10)</t>
  </si>
  <si>
    <t>Bull 22.00%</t>
  </si>
  <si>
    <t>Eduardo Aparecido on 567 Body Roc (PGAO)
Qualified Ride Probability: 42.3% (confidence 10 of 10)
Ride Score Potential: 83.15 to 89.15 points
Eduardo Aparecido Riding Hand: Right
Career: 496 for 1134 - 43.74% - Rider Rating: *.360
Short Rounds: 53 for 156 - 33.97%
Current Streak: 5 / 15 - 33.33%
PBR Current Season: Rank: 30 (31 for 72 - 43.1%) 189.00 pts (-703.5) - $133,872.04
PBR Points Per Out: 3 - Points Per QR: 6
vs. Left: 121-231 (34.38%) -- vs. Right: 238-178 (57.21%) -- vs. ?: 18-50 (26.47%) -- +22.83%/13.47% RIGHT
567 Body Roc - PBS -
Power Rating: 66.79
ALL: 31 outs 13 rides - 58.06%
UTB: 17 outs 10 rides - 41.18%
vs. Left:  8-10 - 44.44%
vs. Right: 6-3 - 66.67%
vs. Top:   8-10 - 44.44%
Riding Hand Advantage: LEFT (22.00%)
Previous Outs for 567 Body Roc
Event	Level	Matchup	Score	Marks	Time	Notes
Fort Worth Mar '26	PBR	Blake Geibel	-	21.40 - 21.40	2.62	*
Bucktown Feb '26	OPEN	Riggs Caldwell	-	21.75 - 21.75	3.03	*
Milwaukee Jan '26	PBR	* Keyshawn Whitehorse	-	20.90 - 21.15	3.68	*
Nashville Aug '25	PBR	* Daylon Swearingen	-	19.75 - 18.75	7.46	*
Fort Worth Jul '25	PBR	Damiao Soares	82.50	20.50 - 20.00	8.00	*
Oklahoma City Jul '25	PBR	Miguel de Jesus	87.00	21.25 - 21.25	8.00	*
Rocksprings Jun '25	PBR	Chance Lopez	-	21.50 - 21.50	3.19	*
Rocksprings Jun '25	PBR	Douglas Lino de Souza	-	21.00 - 21.50	1.97	*
Palm Springs Mar '25	PBR	* Derek Kolbaba	88.25	21.50 - 21.50	8.00	*
Salt Lake City Feb '25	PBR	* Koltin Hevalow	87.75	21.25 - 21.50	8.00	*
Fort Worth Jan '25	PBR	* Ezekiel Mitchell	86.25	21.00 - 21.00	8.00	*
Denver Jan '25	PBR	Alex Junior da Silva	78.50	20.00 - 19.50	8.00	*
Denver Jan '25	PBR	* Cole Melancon	-	21.00 - 20.00	6.09	*
Wichita Dec '24	PBR	* Luciano De Castro	87.00	21.00 - 21.50	8.00	*
St. Louis Dec '24	PBR	* Cort McFadden	86.25	21.00 - 20.75	8.00	*
Previous Matchups at probability 0.423
Rider Count	88
Avg Rider Rating	.267
Total Outs	127
Qualified Rides	65
Riding %	51.18%
87+ points	18.11%</t>
  </si>
  <si>
    <t>Manoelito de Souza Junior on 7030 After Hours (XVJB)
Qualified Ride Probability: 15.6% (confidence 7 of 10)
Ride Score Potential: 81.86 to 87.86 points
Manoelito de Souza Junior Riding Hand: Left
Career: 112 for 417 - 26.86% - Rider Rating: *.202
Short Rounds: 12 for 60 - 20%
Current Streak: 1 / 15 - 6.67%
PBR Current Season: Rank: 35 (6 for 28 - 21.4%) 112.00 pts (-780.5) - $18,250.00
PBR Points Per Out: 4 - Points Per QR: 19
vs. Left: 63-83 (43.15%) -- vs. Right: 9-90 (9.09%) -- vs. ?: 13-53 (19.7%) -- +34.06%/16.29% LEFT
7030 After Hours - PBS -
Power Rating: 41.71
ALL: 7 outs 1 rides - 85.71%
vs. Left:  4-0 - 100.00%
vs. Right: 2-1 - 66.67%
vs. Top:   0-0 - 0.00%
Riding Hand Advantage: UNKNOWN (0.00%)
Previous Outs for 7030 After Hours
Event	Level	Matchup	Score	Marks	Time	Notes
Paris Jul '23	PBR	Laramie Craigen	-	-	-	RR foul
Fort Worth Aug '22	PBR	Davi Henrique de Lima	-	17.00 - 19.50	6.22	*
Paris Jul '22	PBR	Levi Hershberger	-	21.50 - 21.00	4.92	*
Casper Apr '22	PBR	Cole Skender	82.50	20.00 - 20.00	8.00	*
Knoxville Feb '22	PBR	Colt Robinson	-	21.50 - 21.00	7.10	*
Memphis Feb '22	PBR	Thor Hoefer II	-	22.00 - 21.50	2.37	*
North Charleston Feb '22	PBR	Casey Roberts	-	21.50 - 21.00	4.50	*
Jacksonville Jan '22	PBR	Quentin Vaught	-	21.00 - 21.50	4.75	*
Previous Matchups at probability 0.156
Rider Count	257
Avg Rider Rating	.111
Total Outs	346
Qualified Rides	45
Riding %	13.01%
87+ points	4.34%</t>
  </si>
  <si>
    <t>Kase Hitt on 937 Whacky Wizard (PPHT)
Qualified Ride Probability: 24.9% (confidence 7 of 10)
Ride Score Potential: 83.07 to 89.07 points
Kase Hitt Riding Hand: Left
Career: 94 for 332 - 28.31% - Rider Rating: .179
Short Rounds: 6 for 23 - 26.09%
Current Streak: 4 / 15 - 26.67%
PBR Current Season: Rank: 33 (16 for 53 - 30.2%) 137.00 pts (-755.5) - $49,767.31
PBR Points Per Out: 3 - Points Per QR: 9
vs. Left: 40-59 (40.4%) -- vs. Right: 15-81 (15.63%) -- vs. ?: 17-28 (37.78%) -- +24.77%/12.09% LEFT
937 Whacky Wizard - PBS - 10230319
Power Rating: 58.27
ALL: 7 outs 1 rides - 85.71%
vs. Left:  2-0 - 100.00%
vs. Right: 3-1 - 75.00%
vs. Top:   1-1 - 50.00%
Riding Hand Advantage: UNKNOWN (0.00%)
Previous Outs for 937 Whacky Wizard
Event	Level	Matchup	Score	Marks	Time	Notes
Fort Worth Mar '26	PBR	Eikson Pereira	-	21.20 - 20.80	7.58	*
Fort Worth Jul '25	PBR	Tuff Morgan	-	20.50 - 20.00	2.81	*
Fort Worth Feb '25	PBR	Rogerio Venancio	-	19.00 - 19.50	6.69	*
Fort Worth Sep '24	PBR	Callum Miller	-	21.50 - 21.00	4.00	*
Anaheim Sep '24	PBR	* Dawson Branton	-	22.00 - 21.75	5.20	*
Anaheim Sep '24	PBR	Grayson Cole	-	22.00 - 21.75	3.13	*
Fort Lauderdale Aug '24	PBR	* Keyshawn Whitehorse	89.00	21.25 - 22.00	8.00	*
Previous Matchups at probability 0.249
Rider Count	264
Avg Rider Rating	.174
Total Outs	411
Qualified Rides	91
Riding %	22.14%
87+ points	3.41%</t>
  </si>
  <si>
    <t>Bruno Carvalho on 128J Love County (PGAO)
Qualified Ride Probability: 46.7% (confidence 9 of 10)
Ride Score Potential: 83.5 to 89.5 points
Bruno Carvalho Riding Hand: Left
Career: 70 for 219 - 31.96% - Rider Rating: *.208
Short Rounds: 6 for 22 - 27.27%
Current Streak: 4 / 15 - 26.67%
PBR Current Season: Rank: 42 (9 for 34 - 26.5%) 71.50 pts (-821) - $30,778.26
PBR Points Per Out: 2 - Points Per QR: 8
vs. Left: 33-33 (50%) -- vs. Right: 3-41 (6.82%) -- vs. ?: 10-24 (29.41%) -- +43.18%/18.04% LEFT
128J Love County - PBS - 10256903
Power Rating: 48.73
ALL: 17 outs 9 rides - 47.06%
UTB: 7 outs 5 rides - 28.57%
vs. Left:  2-6 - 25.00%
vs. Right: 6-3 - 66.67%
vs. Top:   1-8 - 11.11%
Riding Hand Advantage: LEFT (42.00%)
Previous Outs for 128J Love County
Event	Level	Matchup	Score	Marks	Time	Notes
Cleburne Mar '26	OPEN	* Qynn Andersen	86.60	21.05 - 21.05	8.00	*
Fort Worth Mar '26	PBR	Tyler Villarreal	-	21.30 - 21.10	2.59	*
Bucktown Feb '26	OPEN	* Wacey Schalla	85.00	20.50 - 20.50	8.00	*
Milwaukee Jan '26	PBR	Alison dos Santos	85.45	20.90 - 20.85	8.00	*
Houma Jan '26	OPEN	* Vinicius Pinheiro Correa	-	20.60 - 20.60	4.09	*
Granbury Nov '25	OPEN	* Alex Cerqueira	87.50	21.28 - 21.28	8.00	*
Kansas City Oct '25	PBR	Miguel de Jesus	-	21.25 - 21.00	7.76	*
Fort Worth Sep '25	PBR	* John Crimber	86.50	20.75 - 20.75	8.00	*
Anaheim Sep '25	PBR	* Jess Lockwood	89.00	21.50 - 21.50	8.00	*
Anaheim Sep '25	PBR	* John Crimber	88.25	21.00 - 21.00	8.00	*
Fort Worth Jun '25	PBR	* Guilherme Valleiras	86.50	21.00 - 21.50	8.00	*
Decatur May '25	PBR	Leonardo Lima	-	21.00 - 21.50	1.25	*
Grand Forks Apr '25	PBR	Zane Cook	-	21.00 - 21.00	2.22	*
Little Rock Mar '25	PBR	* Koltin Hevalow	84.75	20.75 - 21.00	8.00	*
Little Rock Mar '25	PBR	Trace Redd	-	21.75 - 22.00	3.72	*
Previous Matchups at probability 0.467
Rider Count	63
Avg Rider Rating	.279
Total Outs	85
Qualified Rides	42
Riding %	49.41%
87+ points	20%</t>
  </si>
  <si>
    <t>Marco Rizzo on 54E Carlos Danger (TFRS)
Qualified Ride Probability: 38.5% (confidence 9 of 10)
Ride Score Potential: 82.79 to 88.79 points
Marco Rizzo Riding Hand: Right
Career: 62 for 178 - 34.83% - Rider Rating: *.215
Short Rounds: 4 for 23 - 17.39%
Current Streak: 6 / 15 - 40.00%
PBR Current Season: Rank: 9 (27 for 72 - 37.5%) 405.00 pts (-487.5) - $143,765.82
PBR Points Per Out: 6 - Points Per QR: 15
vs. Left: 9-37 (19.57%) -- vs. Right: 30-39 (43.48%) -- vs. ?: 8-15 (34.78%) -- +23.91%/8.65% RIGHT
54E Carlos Danger - PBS - 10215145
Power Rating: 68.94
ALL: 24 outs 7 rides - 70.83%
UTB: 12 outs 4 rides - 66.67%
vs. Left:  6-2 - 75.00%
vs. Right: 8-5 - 61.54%
vs. Top:   8-6 - 57.14%
Riding Hand Advantage: RIGHT (13.00%)
Previous Outs for 54E Carlos Danger
Event	Level	Matchup	Score	Marks	Time	Notes
Sacramento Jan '26	PBR	Elijah Jennings	84.40	20.40 - 20.70	8.00	*
Waco Oct '25	PRCA	Gavan Hauck	-	22.50 - 20.50	2.58	*
Eagle Jul '25	PRCA	Colton Clymer	-	23.00 - 23.00	2.45	*
Fort Collins Jul '25	PBR	* Sandro Batista	83.50	20.00 - 20.50	8.00	*
Evergreen Jun '25	PRCA	Adam Cook	-	22.00 - 19.00	4.00	(nt)
Evergreen Jun '25	PRCA	Cody Wooldridge	-	-	4.00	(nm)(nt)
Nampa Apr '25	PBR	* Ezekiel Mitchell	-	-	-	RR foul (head rope)
Fort Worth Mar '25	PBR	Wallace Vieira de Oliveira	-	-	-	RR foul
Billings Apr '24	PBR	* Silvano Alves	-	19.25 - 20.00	0.09	*
Fort Worth Mar '24	PBR	* Paulo Eduardo Rossetto	-	21.00 - 20.50	4.31	*
Fort Worth Mar '24	PBR	* Leandro Machado	83.00	21.00 - 20.00	8.00	*
Fort Worth Feb '24	PBR	* Cassio Dias	-	-	-	RR foul
Fort Worth Feb '24	PBR	Bruno Jose Barros	-	-	-	DQ chute
Fort Worth Jan '24	PBR	Leonardo Lima	-	21.00 - 20.00	2.24	*
Fort Worth Dec '23	PBR	Cody McCandless	-	20.50 - 21.00	5.86	*
Previous Matchups at probability 0.385
Rider Count	133
Avg Rider Rating	.236
Total Outs	193
Qualified Rides	75
Riding %	38.86%
87+ points	12.95%</t>
  </si>
  <si>
    <t>Cassio Dias on 012 Crockett (BMJM)
Qualified Ride Probability: 37.1% (confidence 6 of 10)
Ride Score Potential: 84.77 to 90.77 points
Cassio Dias Riding Hand: Right
Career: 125 for 249 - 50.2% - Rider Rating: *.410
Short Rounds: 18 for 32 - 56.25%
Current Streak: 3 / 15 - 20.00%
PBR Current Season: Rank: 19 (13 for 45 - 28.9%) 295.50 pts (-597) - $98,807.28
PBR Points Per Out: 7 - Points Per QR: 23
vs. Left: 23-40 (36.51%) -- vs. Right: 79-44 (64.23%) -- vs. ?: 12-16 (42.86%) -- +27.72%/14.03% RIGHT
012 Crockett PBS
no compiled stats
Previous Outs for 012 Crockett
Event	Level	Matchup	Score	Marks	Time	Notes
Billings Apr '26	PBR	* Julio Cesar Marques	83.15	20.80 - 20.90	8.00	*
Belton Feb '26	OPEN	Jeferson Silva	-	20.98 - 20.98	5.97	*
Perry Feb '26	PRCA	Cooper Caldwell	91.00	23.00 - 22.00	8.00	*
Previous Matchups at probability 0.371
Rider Count	140
Avg Rider Rating	.235
Total Outs	204
Qualified Rides	86
Riding %	42.16%
87+ points	8.82%</t>
  </si>
  <si>
    <t>Alan de Souza on 933G Gene's Best (BMJM)
Qualified Ride Probability: 36.8% (confidence 10 of 10)
Ride Score Potential: 82.98 to 88.98 points
Alan de Souza Riding Hand: Right
Career: 211 for 397 - 53.15% - Rider Rating: *.339
Short Rounds: 24 for 48 - 50%
Current Streak: 4 / 15 - 26.67%
PBR Current Season: Rank: 31 (35 for 70 - 50%) 178.00 pts (-714.5) - $102,574.30
PBR Points Per Out: 3 - Points Per QR: 5
vs. Left: 38-62 (38%) -- vs. Right: 109-70 (60.89%) -- vs. ?: 22-15 (59.46%) -- +22.89%/7.74% RIGHT
933G Gene's Best - PBS - 10229185
Power Rating: 71.00
ALL: 27 outs 7 rides - 74.07%
UTB: 13 outs 7 rides - 46.15%
vs. Left:  4-6 - 40.00%
vs. Right: 14-1 - 93.33%
vs. Top:   9-6 - 60.00%
Riding Hand Advantage: LEFT (53.00%)
Previous Outs for 933G Gene's Best
Event	Level	Matchup	Score	Marks	Time	Notes
Billings Apr '26	PBR	* Jess Lockwood	88.45	21.90 - 21.20	8.00	*
Perry Feb '26	PRCA	* Hayes Weight	-	12.00 - 12.00	4.00	(nmb)(nt)
Tulsa Jan '26	PBR	Damien Krushall	-	21.00 - 20.90	1.60	*
Bangor Jan '26	PBR	Claudio Rogerio Alves Junior	-	21.60 - 21.80	6.41	*
Bangor Jan '26	PBR	Grayson Cole	-	21.80 - 22.00	4.21	*
Green Bay Sep '25	PBR	* Kyler Oliver	-	21.00 - 21.00	6.12	*
Kansas City Apr '25	PBR	Thomas Hudson	-	19.50 - 16.50	-	RR inf
Ardmore Mar '25	PRCAX	Jacob Carige	-	21.50 - 21.00	4.40	*
Austin Mar '25	PRCA	Maverick Potter	-	-	-	RR foul
Little Rock Mar '25	PBR	* Austin Richardson	-	21.25 - 21.50	6.31	*
Jacksonville Feb '25	PBR	* John Crimber	86.00	21.00 - 20.50	8.00	*
Salt Lake City Feb '25	PBR	* Dalton Kasel	-	22.00 - 22.50	6.36	*
Sacramento Jan '25	PBR	* Luciano De Castro	90.75	22.00 - 22.25	8.00	*
Sacramento Jan '25	PBR	* Keyshawn Whitehorse	-	21.50 - 21.00	4.00	*
Sacramento Jan '25	PBR	* Claudio Montanha Jr.	-	-	-	RR chute
Previous Matchups at probability 0.368
Rider Count	135
Avg Rider Rating	.235
Total Outs	204
Qualified Rides	90
Riding %	44.12%
87+ points	11.76%</t>
  </si>
  <si>
    <t>Alex Cerqueira on 127 Bulldog (BMJM)
Qualified Ride Probability: 30.1% (confidence 6 of 10)
Ride Score Potential: 83.67 to 89.67 points
Alex Cerqueira Riding Hand: Left
Career: 197 for 513 - 38.4% - Rider Rating: *.270
Short Rounds: 22 for 60 - 36.67%
Current Streak: 6 / 15 - 40.00%
PBR Current Season: Rank: 6 (33 for 65 - 50.8%) 502.50 pts (-390) - $162,721.28
PBR Points Per Out: 8 - Points Per QR: 15
vs. Left: 110-93 (54.19%) -- vs. Right: 32-108 (22.86%) -- vs. ?: 14-24 (36.84%) -- +31.33%/15.79% LEFT
127 Bulldog PBS 10250898
no compiled stats
Previous Outs for 127 Bulldog
Event	Level	Matchup	Score	Marks	Time	Notes
Billings Apr '26	PBR	Kase Hitt	-	21.50 - 21.20	3.69	*
Little Rock Mar '26	PBR	* Sage Kimzey	-	20.80 - 20.45	5.67	*
Belton Feb '26	OPEN	Braydan Kilcrease	-	21.53 - 21.53	3.97	*
Previous Matchups at probability 0.301
Rider Count	235
Avg Rider Rating	.194
Total Outs	340
Qualified Rides	92
Riding %	27.06%
87+ points	9.12%</t>
  </si>
  <si>
    <t>Romario Leite on 106 MF Darkside (BSBL)
Qualified Ride Probability: 38.9% (confidence 8 of 10)
Ride Score Potential: 83.32 to 89.32 points
Romario Leite Riding Hand: Left
Career: 25 for 78 - 32.05% - Rider Rating: .156
Short Rounds: 1 for 8 - 12.5%
Current Streak: 3 / 15 - 20.00%
PBR Current Season: Rank: 60 (1 for 11 - 9.1%) 8.00 pts (-884.5) - $9,446.45
PBR Points Per Out: 1 - Points Per QR: 8
vs. Left: 11-8 (57.89%) -- vs. Right: 3-12 (20%) -- vs. ?: 4-14 (22.22%) -- +37.89%/25.84% LEFT
106 MF Darkside - PBS -
Power Rating: 52.32
ALL: 10 outs 6 rides - 40%
UTB: 9 outs 6 rides - 33.33%
vs. Left:  2-6 - 25.00%
vs. Right: 2-0 - 100.00%
vs. Top:   2-4 - 33.33%
Riding Hand Advantage: LEFT (75.00%)
Previous Outs for 106 MF Darkside
Event	Level	Matchup	Score	Marks	Time	Notes
Bridgeport Feb '26	PBR	* Bruno Carvalho	81.70	19.90 - 20.40	8.00	*
Jacksonville Feb '26	PBR	* Andrew Alvidrez	-	20.70 - 21.20	6.04	*
Pittsburgh Feb '26	PBR	* Thiago Salgado	85.15	21.15 - 21.20	8.00	*
Milwaukee Jan '26	PBR	* John Crimber	87.60	21.35 - 21.15	8.00	*
New York Jan '26	PBR	* Afonso Quintino	85.80	20.95 - 21.10	8.00	*
Manchester Dec '25	PBR	* Bob Mitchell	86.85	21.30 - 20.95	8.00	*
Las Vegas Oct '25	PBR	Winy dos Santos	-	21.25 - 21.00	7.76	*
Las Vegas Oct '25	PBR	Lauro Nunes Vieira	-	20.75 - 20.75	4.29	*
Glendale Oct '25	PBR	* Everton Natan da Silva	87.75	21.50 - 21.50	8.00	*
Glendale Oct '25	PBR	* Boudreaux Campbell	-	21.50 - 22.00	3.50	*
Previous Matchups at probability 0.389
Rider Count	119
Avg Rider Rating	.243
Total Outs	167
Qualified Rides	73
Riding %	43.71%
87+ points	14.37%</t>
  </si>
  <si>
    <t>Bob Mitchell on 012H Sunrise (BSBL)
Qualified Ride Probability: 54.2% (confidence 9 of 10)
Ride Score Potential: 83.96 to 89.96 points
Bob Mitchell Riding Hand: Left
Career: 183 for 462 - 39.61% - Rider Rating: *.283
Short Rounds: 18 for 73 - 24.66%
Current Streak: 10 / 15 - 66.67%
PBR Current Season: Rank: 13 (34 for 62 - 54.8%) 396.00 pts (-496.5) - $123,666.07
PBR Points Per Out: 6 - Points Per QR: 12
vs. Left: 98-90 (52.13%) -- vs. Right: 32-89 (26.45%) -- vs. ?: 18-24 (42.86%) -- +25.68%/12.52% LEFT
012H Sunrise - PBS -
Power Rating: 59.59
ALL: 17 outs 7 rides - 58.82%
UTB: 11 outs 7 rides - 36.36%
vs. Left:  2-2 - 50.00%
vs. Right: 7-5 - 58.33%
vs. Top:   4-6 - 40.00%
Riding Hand Advantage: LEFT (8.00%)
Previous Outs for 012H Sunrise
Event	Level	Matchup	Score	Marks	Time	Notes
Billings Apr '26	PBR	* Jose Vitor Leme	87.20	21.30 - 21.20	8.00	*
Bridgeport Feb '26	PBR	Elijah Jennings	-	21.05 - 21.70	6.32	*
Jacksonville Feb '26	PBR	* Joao Ricardo Vieira	82.65	19.90 - 20.30	8.00	*
Pittsburgh Feb '26	PBR	* Cort McFadden	87.40	21.05 - 21.30	8.00	*
Tampa Jan '26	PBR	* Sage Kimzey	88.10	21.40 - 21.50	8.00	*
Milwaukee Jan '26	PBR	* Leandro Zampollo	-	21.85 - 21.80	4.27	*
Milwaukee Jan '26	PBR	JaCauy Hale	-	21.35 - 21.80	1.92	*
Manchester Dec '25	PBR	Callum Miller	86.65	21.10 - 21.05	8.00	*
Las Vegas Oct '25	PBR	* Cooper Davis	87.25	21.25 - 21.50	8.00	*
Las Vegas Oct '25	PBR	Alex Junior da Silva	-	21.25 - 21.25	2.73	*
Glendale Oct '25	PBR	* Alan de Souza	84.75	21.25 - 21.00	8.00	*
Glendale Oct '25	PBR	* Andrew Alvidrez	-	21.50 - 21.50	6.17	*
Topeka Jul '25	PBR	Boston Leather	-	21.50 - 21.50	1.99	*
Tallahassee Mar '25	PBR	Weslei Ferreira de Jesus	-	22.00 - 21.00	1.17	*
Lexington Mar '25	PBR	Brody Robinson	-	21.00 - 21.00	2.54	*
Previous Matchups at probability 0.542
Rider Count	28
Avg Rider Rating	.303
Total Outs	31
Qualified Rides	17
Riding %	54.84%
87+ points	16.13%</t>
  </si>
  <si>
    <t>Daniel Keeping on 38K Masterpiece (BSBL)
Qualified Ride Probability: 34.5% (confidence 5 of 10)
Ride Score Potential: -1 to 5 points
Daniel Keeping Riding Hand: Left
Career: 162 for 417 - 38.85% - Rider Rating: *.273
Short Rounds: 10 for 45 - 22.22%
Current Streak: 6 / 15 - 40.00%
PBR Current Season: Rank: 21 (33 for 71 - 46.5%) 255.00 pts (-637.5) - $146,643.44
PBR Points Per Out: 4 - Points Per QR: 8
vs. Left: 99-76 (56.57%) -- vs. Right: 18-85 (17.48%) -- vs. ?: 13-26 (33.33%) -- +39.09%/17.72% LEFT
38K Masterpiece PBS 10268379
no compiled stats
no recorded outs
Previous Matchups at probability 0.345
Rider Count	158
Avg Rider Rating	.230
Total Outs	235
Qualified Rides	89
Riding %	37.87%
87+ points	10.64%</t>
  </si>
  <si>
    <t>Jess Lockwood on 071H Apple Juicing (WI)
Qualified Ride Probability: 36.4% (confidence 10 of 10)
Ride Score Potential: 83.71 to 89.71 points
Jess Lockwood Riding Hand: Left
Career: 268 for 553 - 48.46% - Rider Rating: *.408
Short Rounds: 42 for 100 - 42%
Current Streak: 8 / 15 - 53.33%
PBR Current Season: Rank: 20 (20 for 42 - 47.6%) 292.00 pts (-600.5) - $230,842.06
PBR Points Per Out: 7 - Points Per QR: 15
vs. Left: 142-99 (58.92%) -- vs. Right: 44-86 (33.85%) -- vs. ?: 23-26 (46.94%) -- +25.07%/10.46% LEFT
071H Apple Juicing - PBS -
Power Rating: 67.21
ALL: 29 outs 3 rides - 89.66%
vs. Left:  9-0 - 100.00%
vs. Right: 12-3 - 80.00%
vs. Top:   4-2 - 66.67%
Riding Hand Advantage: RIGHT (20.00%)
Previous Outs for 071H Apple Juicing
Event	Level	Matchup	Score	Marks	Time	Notes
Oakland Apr '26	PBR	Edgardo Figueroa	-	21.60 - 21.00	1.87	*
Fresno Mar '26	PBR	Jairo Castellanos	-	21.10 - 21.80	2.25	*
Bakersfield Mar '26	PBR	* Braidy Randolph	-	21.50 - 21.60	6.72	*
Sacramento Jan '26	PBR	* Clay Guiton	87.00	21.10 - 20.95	8.00	*
Ontario Jan '26	PBR	Landen Jones	-	20.70 - 21.30	1.52	*
Ontario Jan '26	PBR	* Vinicius Pinheiro Correa	-	22.10 - 21.60	3.21	*
Red Bluff Dec '25	PRCA	Ray Mayo	-	21.00 - 20.50	3.22	*
Glendale Oct '25	PBR	* Eduardo Aparecido	-	21.00 - 21.00	3.71	*
Bremerton Aug '25	PRCAX	Gavin Mitchell	-	21.50 - 21.00	3.28	*
Bremerton Aug '25	PRCA	Rawley Johnson	-	-	-	RR foul
Salinas Jul '25	PRCAX	Andy Valdez	-	22.00 - 21.00	1.61	*
Reno Jun '25	PRCA	Kase Hitt	-	20.50 - 22.50	1.68	*
Reno Jun '25	PRCAX	Ernie Courson	84.00	22.00 - 22.00	8.00	*
Lakeside Apr '25	PRCA	Jate Frost	-	20.00 - 20.50	4.00	(nt)
Oakland Apr '25	PBR	Jacob David	-	21.00 - 21.50	2.53	*
Previous Matchups at probability 0.364
Rider Count	140
Avg Rider Rating	.231
Total Outs	210
Qualified Rides	94
Riding %	44.76%
87+ points	11.43%</t>
  </si>
  <si>
    <t>Andrew Alvidrez on 02K Smoke Screen (HWKN)
Qualified Ride Probability: 20.9% (confidence 7 of 10)
Ride Score Potential: 86.19 to 92.19 points
Andrew Alvidrez Riding Hand: Right
Career: 233 for 735 - 31.7% - Rider Rating: *.245
Short Rounds: 29 for 99 - 29.29%
Current Streak: 4 / 15 - 26.67%
PBR Current Season: Rank: 25 (19 for 64 - 29.7%) 219.00 pts (-673.5) - $154,923.02
PBR Points Per Out: 3 - Points Per QR: 12
vs. Left: 58-175 (24.89%) -- vs. Right: 104-146 (41.6%) -- vs. ?: 24-52 (31.58%) -- +16.71%/9.9% RIGHT
02K Smoke Screen - PBS - 10272036
Power Rating: 75.92
ALL: 8 outs 0 rides - 100%
vs. Left:  2-0 - 100.00%
vs. Right: 3-0 - 100.00%
vs. Top:   2-0 - 100.00%
Riding Hand Advantage: UNKNOWN (0.00%)
Previous Outs for 02K Smoke Screen
Event	Level	Matchup	Score	Marks	Time	Notes
Oakland Apr '26	PBR	* Vitor Losnake	-	22.70 - 22.60	1.87	*
Palm Desert Mar '26	PBR	Dakota Johnson	-	22.10 - 21.10	2.80	*
Bakersfield Mar '26	PBR	* Dener Barbosa	-	22.00 - 21.80	4.94	*
Reno Feb '26	PBR	Dakota Johnson	-	21.50 - 20.95	4.26	*
Ontario Jan '26	PBR	Dione de Souza Ribeiro	-	21.20 - 21.40	4.57	*
Portland Jan '26	PBR	Dakota Johnson	-	21.40 - 21.80	4.02	*
Portland Jan '26	PBR	Levi Quillan	-	22.00 - 21.20	3.09	*
Ardmore Mar '25	PRCAX	Ernie Courson	-	22.00 - 23.00	4.78	*
Previous Matchups at probability 0.209
Rider Count	250
Avg Rider Rating	.155
Total Outs	366
Qualified Rides	74
Riding %	20.22%
87+ points	4.37%</t>
  </si>
  <si>
    <t>Daylon Swearingen on 829 Ugly This (CMCY)
Qualified Ride Probability: 48% (confidence 10 of 10)
Ride Score Potential: 85.25 to 91.25 points
Daylon Swearingen Riding Hand: Left
Career: 352 for 823 - 42.77% - Rider Rating: *.341
Short Rounds: 47 for 123 - 38.21%
Current Streak: 7 / 15 - 46.67%
PBR Current Season: Rank: 16 (19 for 46 - 41.3%) 362.50 pts (-530) - $150,772.22
PBR Points Per Out: 8 - Points Per QR: 19
vs. Left: 204-165 (55.28%) -- vs. Right: 55-143 (27.78%) -- vs. ?: 23-48 (32.39%) -- +27.5%/12.51% LEFT
829 Ugly This - PBS -
Power Rating: 78.86
ALL: 74 outs 22 rides - 70.27%
UTB: 32 outs 15 rides - 53.13%
vs. Left:  23-16 - 58.97%
vs. Right: 22-6 - 78.57%
vs. Top:   27-19 - 58.70%
Riding Hand Advantage: LEFT (20.00%)
Previous Matchups
Event	Level	Matchup	Score	Marks	Time	Notes
Las Vegas Oct '24	PBR	Daylon Swearingen on 48315	89.75	21.75 - 21.25	8.00	*
Previous Outs for 829 Ugly This
Event	Level	Matchup	Score	Marks	Time	Notes
New Orleans Apr '26	HONDO	* Boudreaux Campbell	-	21.80 - 21.90	4.09	*
New Orleans Apr '26	HONDO	* Hayden Welsh	88.90	21.60 - 21.90	8.00	*
Albuquerque Mar '26	PBR	* Bob Mitchell	86.90	21.20 - 21.15	8.00	*
Mercedes Mar '26	PRCAX	Cody Fraser	-	20.50 - 19.50	3.96	*
Mercedes Mar '26	PRCAX	* Wacey Schalla	-	-	-	TO
Mercedes Mar '26	PRCAX	Hayden Ferguson	-	21.00 - 22.50	3.66	*
Tallahassee Mar '26	PBR	* Bruno Carvalho	85.75	21.10 - 21.00	8.00	*
Little Rock Mar '26	PBR	* Koltin Hevalow	87.55	21.30 - 21.40	8.00	*
Jacksonville Feb '26	PBR	Andy Guzman	-	20.95 - 21.60	2.71	*
Guthrie Feb '26	PRCAX	Wyatt Bowman	-	20.00 - 21.00	4.00	(nt)
Guthrie Feb '26	PRCAX	Tucker Root	-	20.00 - 21.50	4.00	(nt)
Pawhuska Jan '26	PRCA	Patterson Starcher	-	20.00 - 21.00	4.00	(nt)
New York Jan '26	PBR	* Qynn Andersen	-	21.30 - 21.40	6.53	*
Las Vegas (NFR) Dec '25	PRCA	* Hayes Weight	-	21.75 - 21.50	4.02	*
Las Vegas (NFR) Dec '25	PRCA	* Luke Mackey	82.50	21.00 - 19.75	8.00	*
Previous Matchups at probability 0.48
Rider Count	60
Avg Rider Rating	.279
Total Outs	78
Qualified Rides	44
Riding %	56.41%
87+ points	15.38%</t>
  </si>
  <si>
    <t>Thiago Salgado on 102 Cracky Chan (CLPB)
Qualified Ride Probability: 39% (confidence 9 of 10)
Ride Score Potential: 83.56 to 89.56 points
Thiago Salgado Riding Hand: Left
Career: 176 for 430 - 40.93% - Rider Rating: *.281
Short Rounds: 16 for 50 - 32%
Current Streak: 4 / 15 - 26.67%
PBR Current Season: Rank: 24 (38 for 74 - 51.4%) 224.00 pts (-668.5) - $173,189.21
PBR Points Per Out: 3 - Points Per QR: 6
vs. Left: 103-89 (53.65%) -- vs. Right: 20-82 (19.61%) -- vs. ?: 15-18 (45.45%) -- +34.04%/12.72% LEFT
102 Cracky Chan - PBS -
Power Rating: 57.72
ALL: 15 outs 5 rides - 66.67%
UTB: 6 outs 4 rides - 33.33%
vs. Left:  6-1 - 85.71%
vs. Right: 3-4 - 42.86%
vs. Top:   3-5 - 37.50%
Riding Hand Advantage: RIGHT (43.00%)
Previous Outs for 102 Cracky Chan
Event	Level	Matchup	Score	Marks	Time	Notes
Oakland Apr '26	PBR	Justice Forsythe	-	19.60 - 20.50	1.19	*
Salt Lake City Feb '26	PBR	* Cort McFadden	-	21.25 - 21.60	6.93	*
Sacramento Jan '26	PBR	* Luciano De Castro	-	20.95 - 21.25	3.23	*
Sacramento Jan '26	PBR	* Maverick Smith	85.70	21.35 - 20.80	8.00	*
Ontario Jan '26	PBR	Kingston Herrero	-	22.30 - 22.10	2.03	*
Anaheim Sep '25	PBR	* Claudio Montanha Jr.	86.00	21.00 - 21.00	8.00	*
Anaheim Sep '25	PBR	* Keyshawn Whitehorse	-	-	-	RR foul
Anaheim Sep '25	PBR	* Paulo Eduardo Rossetto	86.25	21.00 - 21.00	8.00	*
Oakland Apr '25	PBR	* Bob Mitchell	86.00	21.00 - 21.00	8.00	*
Palm Springs Mar '25	PBR	* Andrew Alvidrez	85.00	20.50 - 20.50	8.00	*
Fort Worth Jan '25	PBR	* Koltin Hevalow	-	21.00 - 21.25	6.61	*
Fort Worth Jan '25	PBR	* Austin Richardson	-	21.75 - 21.25	-	RR no nod
Denver Jan '25	PBR	* Ednelio Rodrigues	-	21.50 - 21.00	3.58	*
Denver Jan '25	PBR	Eric Henrique Domingos	-	21.50 - 21.00	5.36	*
Queen Creek Nov '24	PRCAX	Rawley Johnson	-	21.50 - 21.00	4.00	(nt)
Previous Matchups at probability 0.39
Rider Count	117
Avg Rider Rating	.248
Total Outs	168
Qualified Rides	77
Riding %	45.83%
87+ points	12.5%</t>
  </si>
  <si>
    <t>Joao Ricardo Vieira on 891F Testified (PGAO)
Qualified Ride Probability: 27% (confidence 8 of 10)
Ride Score Potential: 84.24 to 90.24 points
Joao Ricardo Vieira Riding Hand: Left
Career: 599 for 1325 - 45.21% - Rider Rating: *.356
Short Rounds: 86 for 200 - 43%
Current Streak: 2 / 15 - 13.33%
PBR Current Season: Rank: 37 (18 for 52 - 34.6%) 92.50 pts (-800) - $83,389.62
PBR Points Per Out: 2 - Points Per QR: 5
vs. Left: 359-237 (60.23%) -- vs. Right: 81-232 (25.88%) -- vs. ?: 46-52 (46.94%) -- +34.35%/15.02% LEFT
891F Testified - PBS - 10276006
Power Rating: 65.19
ALL: 10 outs 1 rides - 90%
vs. Left:  1-0 - 100.00%
vs. Right: 6-1 - 85.71%
vs. Top:   2-1 - 66.67%
Riding Hand Advantage: RIGHT (14.00%)
Previous Outs for 891F Testified
Event	Level	Matchup	Score	Marks	Time	Notes
Bucktown Feb '26	OPEN	* Wacey Schalla	89.00	21.50 - 21.50	8.00	*
Fort Worth Jan '26	PBR	Tennessee Owens	-	20.90 - 21.30	2.23	*
Sioux Falls Sep '25	PRCA	Rawley Johnson	-	22.25 - 22.00	6.78	*
Albuquerque Sep '25	PRCAX	Tyce Willis	-	21.50 - 20.00	6.35	*
Albuquerque Sep '25	PRCAX	Hudson Williams	-	20.00 - 23.00	2.06	*
Ogden Jul '25	PRCA	Jestyn Jax Woodward	-	22.50 - 22.00	5.11	*
Ogden Jul '25	PRCA	Tristan Mize	-	22.00 - 22.00	2.69	*
Oklahoma City Jul '25	PBR	* Braidy Randolph	-	19.50 - 19.25	6.87	*
Oklahoma City Jul '25	PBR	* Guilherme Valleiras	-	21.00 - 20.75	3.09	*
Belton Feb '25	OPEN	Jack Mitchell	-	21.63 - 21.63	2.56	*
Previous Matchups at probability 0.27
Rider Count	235
Avg Rider Rating	.187
Total Outs	358
Qualified Rides	93
Riding %	25.98%
87+ points	5.31%</t>
  </si>
  <si>
    <t>Andy Guzman on 0498 Long Gone (THCC)
Qualified Ride Probability: 22.3% (confidence 9 of 10)
Ride Score Potential: 84.22 to 90.22 points
Andy Guzman Riding Hand: Left
Career: 51 for 222 - 22.97% - Rider Rating: .119
Short Rounds: 5 for 22 - 22.73%
Current Streak: 1 / 15 - 6.67%
PBR Current Season: Rank: 40 (4 for 30 - 13.3%) 78.00 pts (-814.5) - $11,800.00
PBR Points Per Out: 3 - Points Per QR: 20
vs. Left: 18-49 (26.87%) -- vs. Right: 4-52 (7.14%) -- vs. ?: 13-25 (34.21%) -- +19.73%/3.9% LEFT
0498 Long Gone - PBS - 10243159
Power Rating: 66.97
ALL: 23 outs 4 rides - 82.61%
UTB: 7 outs 2 rides - 71.43%
vs. Left:  7-3 - 70.00%
vs. Right: 10-1 - 90.91%
vs. Top:   5-3 - 62.50%
Riding Hand Advantage: LEFT (21.00%)
Previous Outs for 0498 Long Gone
Event	Level	Matchup	Score	Marks	Time	Notes
Reno Feb '26	PBR	Chase Hamlin	-	21.80 - 21.70	1.80	*
Reno Feb '26	PBR	Zane Cook	-	21.35 - 21.50	2.10	*
Lexington Feb '26	PBR	Vinicius Rodrigues Pereira	-	20.45 - 20.30	6.30	*
Tulsa Jan '26	PBR	Zane Cook	-	22.10 - 22.30	2.00	*
Tucson Dec '25	PBR	Ayslan Jeferson	-	21.25 - 21.05	2.51	*
Las Vegas Oct '25	PBR	Alvaro Ariel	-	22.00 - 21.25	1.55	*
Las Vegas Oct '25	PBR	Wyatt Rogers	-	-	-	RR chute
Springfield Aug '25	PBR	* Cody Jesus	-	21.75 - 21.50	6.69	*
Springfield Aug '25	PBR	* Everton Natan da Silva	87.75	21.50 - 21.25	8.00	*
Austin Aug '25	PBR	* Koltin Hevalow	-	20.25 - 20.25	7.75	*
Oklahoma City Jul '25	PBR	* Daylon Swearingen	87.00	21.00 - 21.00	8.00	*
Oklahoma City Jul '25	PBR	* Dalton Kasel	-	21.75 - 21.75	6.37	*
Tallahassee Mar '25	PBR	Wyatt Rogers	-	21.50 - 21.00	2.46	*
Laredo Jan '25	PBR	Guthrie Long	-	22.00 - 21.50	3.98	*
Birmingham Jan '25	PBR	Carlos Garcia	-	20.00 - 22.00	3.37	*
Previous Matchups at probability 0.223
Rider Count	267
Avg Rider Rating	.160
Total Outs	371
Qualified Rides	83
Riding %	22.37%
87+ points	4.85%</t>
  </si>
  <si>
    <t>Mauricio Gulla Moreira on 68E Oreo (THCC)
Qualified Ride Probability: 21.3% (confidence 10 of 10)
Ride Score Potential: 85.28 to 91.28 points
Mauricio Gulla Moreira Riding Hand: Left
Career: 154 for 517 - 29.79% - Rider Rating: *.248
Short Rounds: 10 for 57 - 17.54%
Current Streak: 1 / 15 - 6.67%
PBR Current Season: Rank: 38 (21 for 72 - 29.2%) 86.00 pts (-806.5) - $86,037.98
PBR Points Per Out: 1 - Points Per QR: 4
vs. Left: 81-124 (39.51%) -- vs. Right: 24-126 (16%) -- vs. ?: 14-27 (34.15%) -- +23.51%/9.72% LEFT
68E Oreo - PBS - 10205390
Power Rating: 75.71
ALL: 33 outs 8 rides - 75.76%
UTB: 11 outs 4 rides - 63.64%
vs. Left:  10-0 - 100.00%
vs. Right: 12-8 - 60.00%
vs. Top:   12-8 - 60.00%
Riding Hand Advantage: RIGHT (40.00%)
Previous Outs for 68E Oreo
Event	Level	Matchup	Score	Marks	Time	Notes
Ennis Oct '25	OPEN	* Lane Vaughan	87.30	21.45 - 21.45	8.00	*
Fort Worth Jul '25	PBR	Natanael Serra Aires	-	21.50 - 21.00	5.31	*
Fort Worth Jan '25	PBR	Mossy Waite	-	20.00 - 21.00	6.44	*
Anaheim Sep '24	PBR	* Julio Cesar Marques	88.50	21.50 - 21.75	8.00	*
New York Aug '24	PBR	* Leandro Machado	-	19.75 - 20.50	1.61	*
Fort Lauderdale Aug '24	PBR	* Silvano Alves	-	21.25 - 21.25	7.16	*
Fort Lauderdale Aug '24	PBR	* Kaique Pacheco	85.00	20.25 - 22.00	8.00	*
Fort Worth Jun '24	PBR	Dione de Souza Ribeiro	-	23.00 - 22.50	1.51	*
Liberty May '24	OPEN	* Lane Vaughan	-	22.05 - 22.05	4.45	*
Corpus Christi May '24	PBR	* Paulo Eduardo Rossetto	89.00	21.50 - 21.75	8.00	*
Wichita Apr '24	PBR	* Elizmar Jeremias	-	21.00 - 21.50	1.49	*
Mobile Mar '24	PBR	Alvaro Ariel	-	21.00 - 21.50	1.44	*
Youngstown Feb '24	PBR	João Paulo Fernandes	-	21.00 - 21.50	3.26	*
Reno Jan '24	PBR	* Leonardo Castro	90.50	22.50 - 21.50	8.00	*
Grandview Aug '23	OPEN	Fernando Da Conceicao	-	21.93 - 21.93	2.65	*
Previous Matchups at probability 0.213
Rider Count	271
Avg Rider Rating	.153
Total Outs	387
Qualified Rides	75
Riding %	19.38%
87+ points	2.58%</t>
  </si>
  <si>
    <t>Luciano De Castro on 497 MF Cupcake (BSBL)
Qualified Ride Probability: 35.1% (confidence 6 of 10)
Ride Score Potential: 87.4 to 93.4 points
Luciano De Castro Riding Hand: Left
Career: 353 for 770 - 45.84% - Rider Rating: *.341
Short Rounds: 47 for 108 - 43.52%
Current Streak: 9 / 15 - 60.00%
PBR Current Season: Rank: 18 (36 for 74 - 48.6%) 304.00 pts (-588.5) - $151,952.86
PBR Points Per Out: 4 - Points Per QR: 8
vs. Left: 207-121 (63.11%) -- vs. Right: 42-136 (23.6%) -- vs. ?: 22-36 (37.93%) -- +39.51%/17.27% LEFT
497 MF Cupcake PBS
no compiled stats
Previous Outs for 497 MF Cupcake
Event	Level	Matchup	Score	Marks	Time	Notes
Billings Apr '26	PBR	* Mauricio Gulla Moreira	-	22.05 - 22.15	1.36	*
Previous Matchups at probability 0.351
Rider Count	148
Avg Rider Rating	.238
Total Outs	245
Qualified Rides	84
Riding %	34.29%
87+ points	10.2%</t>
  </si>
  <si>
    <t>Alex Junior da Silva on 2719 Unhinged (WI)
Qualified Ride Probability: 16.3% (confidence 10 of 10)
Ride Score Potential: 83.27 to 89.27 points
Alex Junior da Silva Riding Hand: Right
Career: 45 for 158 - 28.48% - Rider Rating: .160
Short Rounds: 2 for 17 - 11.76%
Current Streak: 5 / 15 - 33.33%
PBR Current Season: Rank: 43 (4 for 12 - 33.3%) 49.50 pts (-843) - $4,025.00
PBR Points Per Out: 4 - Points Per QR: 12
vs. Left: 8-47 (14.55%) -- vs. Right: 16-12 (57.14%) -- vs. ?: 8-14 (36.36%) -- +42.59%/28.66% RIGHT
2719 Unhinged - PBS - 10231548
Power Rating: 77.82
ALL: 27 outs 1 rides - 96.3%
vs. Left:  7-1 - 87.50%
vs. Right: 16-0 - 100.00%
vs. Top:   6-0 - 100.00%
Riding Hand Advantage: LEFT (13.00%)
Previous Matchups
Event	Level	Matchup	Score	Marks	Time	Notes
Fort Worth Feb '25	PBR	Alex Junior da Silva on 49727	-	21.00 - 21.50	1.71	*
Previous Outs for 2719 Unhinged
Event	Level	Matchup	Score	Marks	Time	Notes
Fresno Mar '26	PBR	Jace Catlin	-	20.50 - 21.30	1.60	*
Palm Desert Mar '26	PBR	Zane Cook	-	21.50 - 21.60	2.71	*
Vernal Mar '26	PRCAX	* Dawson Branton	-	21.50 - 19.00	2.55	*
Vernal Mar '26	PRCAX	Connor Trevathan	-	22.00 - 22.50	3.12	*
Sacramento Jan '26	PBR	* Cort McFadden	-	20.85 - 20.95	4.06	*
Sacramento Jan '26	PBR	* Manoelito de Souza Junior	86.50	21.40 - 20.85	8.00	*
Portland Jan '26	PBR	* Lane Vaughan	-	20.50 - 20.70	3.61	*
Tucson Dec '25	PBR	Weslei Ferreira de Jesus	-	21.00 - 20.25	0.91	*
Albuquerque Sep '25	PRCA	Cade Griego	-	-	-	RR foul
Lovington Aug '25	PRCA	* Creek Young	-	-	-	DR
Lovington Aug '25	PRCAX	* Wacey Schalla	-	22.00 - 22.00	7.96	*
Manhattan Jul '25	PRCA	Lane Clark	-	21.50 - 19.50	4.00	(nt)
Manhattan Jul '25	PRCA	Kale Visnieski	-	21.00 - 20.00	4.00	(nt)
Colorado Springs Jul '25	PRCA	* Hudson Bolton	-	22.50 - 21.50	5.04	*
Weatherford Jun '25	PRCA	Harley Rowland	-	-	-	RR fell decl
Previous Matchups at probability 0.163
Rider Count	245
Avg Rider Rating	.125
Total Outs	311
Qualified Rides	44
Riding %	14.15%
87+ points	1.29%</t>
  </si>
  <si>
    <t>John Crimber on 0160 Level Up (D4CC)
Qualified Ride Probability: 45.7% (confidence 8 of 10)
Ride Score Potential: 86.08 to 92.08 points
John Crimber Riding Hand: Left
Career: 228 for 379 - 60.16% - Rider Rating: *.428
Short Rounds: 25 for 51 - 49.02%
Current Streak: 11 / 15 - 73.33%
PBR Current Season: Rank: 1 (54 for 82 - 65.9%) 892.50 pts (-0) - $452,429.21
PBR Points Per Out: 11 - Points Per QR: 17
vs. Left: 129-53 (70.88%) -- vs. Right: 35-47 (42.68%) -- vs. ?: 22-16 (57.89%) -- +28.2%/10.72% LEFT
0160 Level Up - PBS - 10268851
Power Rating: 73.45
ALL: 12 outs 1 rides - 91.67%
vs. Left:  4-1 - 80.00%
vs. Right: 7-0 - 100.00%
vs. Top:   5-1 - 83.33%
Riding Hand Advantage: LEFT (20.00%)
Previous Outs for 0160 Level Up
Event	Level	Matchup	Score	Marks	Time	Notes
Billings Apr '26	PBR	* Bob Mitchell	89.50	21.90 - 22.00	8.00	*
Little Rock Mar '26	PBR	* Joao Ricardo Vieira	-	21.50 - 22.05	2.16	*
Grand Forks Feb '26	PBR	Tyler Villarreal	-	22.05 - 21.35	1.69	*
Tulsa Jan '26	PBR	Hayden Harris	-	21.90 - 21.95	3.33	*
Tucson Dec '25	PBR	Brady Turgeon	-	21.55 - 21.95	2.53	*
Las Vegas Dec '25	PBR	Wyatt Nez	-	21.10 - 20.80	1.99	*
Las Vegas Oct '25	PBR	* Eduardo Aparecido	-	-	-	RR foul
Las Vegas Oct '25	PBR	* Mason Taylor	-	22.00 - 22.00	3.60	*
Kansas City Oct '25	PBR	Eric Henrique Domingos	-	21.50 - 21.75	6.83	*
Kansas City Oct '25	PBR	* Leonardo Castro	-	22.25 - 22.25	3.05	*
Greensboro Sep '25	PBR	* Ezekiel Mitchell	-	-	-	RR foul
Fort Worth Aug '25	PBR	Jhon Carlos Moreira	-	21.50 - 22.00	1.45	*
Las Vegas Dec '24	OPEN	* Ethan Winckler	-	21.50 - 21.88	5.06	*
Las Vegas Dec '24	OPEN	* Cole Melancon	-	21.88 - 21.88	2.85	*
Previous Matchups at probability 0.457
Rider Count	64
Avg Rider Rating	.270
Total Outs	83
Qualified Rides	49
Riding %	59.04%
87+ points	26.51%</t>
  </si>
  <si>
    <t>Brady Fielder on 956G Sucker Punch (D4CC)
Qualified Ride Probability: 40.8% (confidence 8 of 10)
Ride Score Potential: 82.25 to 88.25 points
Brady Fielder Riding Hand: Right
Career: 242 for 475 - 50.95% - Rider Rating: *.369
Short Rounds: 26 for 66 - 39.39%
Current Streak: 10 / 15 - 66.67%
PBR Current Season: Rank: 2 (52 for 85 - 61.2%) 717.00 pts (-175.5) - $412,126.95
PBR Points Per Out: 8 - Points Per QR: 14
vs. Left: 51-86 (37.23%) -- vs. Right: 116-68 (63.04%) -- vs. ?: 19-15 (55.88%) -- +25.81%/12.09% RIGHT
956G Sucker Punch - PBS - 10229189
Power Rating: 74.90
ALL: 13 outs 0 rides - 100%
vs. Left:  2-0 - 100.00%
vs. Right: 9-0 - 100.00%
vs. Top:   2-0 - 100.00%
Riding Hand Advantage: UNKNOWN (0.00%)
Previous Outs for 956G Sucker Punch
Event	Level	Matchup	Score	Marks	Time	Notes
Billings Apr '26	PBR	Callum Miller	-	22.50 - 22.00	4.96	*
Tulsa Jan '26	PBR	Dalton Rudman	-	21.60 - 22.00	2.89	*
Tucson Dec '25	PBR	Grayson Cole	-	11.85 - 13.55	4.24	*
Las Vegas Dec '25	PBR	JaCauy Hale	-	22.30 - 22.10	5.59	*
Las Vegas Oct '25	PBR	Leandro da Silva	-	-	-	DQ chute
Oklahoma City Sep '25	OPEN	Lucas Martins Costa	-	-	-	DQ chute
Fort Worth Sep '25	PBR	Natanael Serra Aires	-	21.50 - 21.50	3.16	*
Dayton Mar '24	PBR	Grayson Cole	-	-	-	RR foul
Las Vegas Oct '23	PBR	* Bob Mitchell	-	-	-	RR chute
Lawton Aug '23	PRCA	Dustin Pinson	-	-	-	RR foul
Woodstown Aug '23	PBR	Jarred Walker	-	-	-	RR foul
Little Rock Mar '23	PBR	* Kaique Pacheco	-	-	-	RR chute
Memphis Feb '23	PBR	Justin Bates	-	22.00 - 22.00	3.62	*
Tulsa Feb '23	PBR	Casey Coulter	-	22.50 - 22.50	2.93	*
Indianapolis Jan '23	PBR	* Vitor Losnake	-	22.50 - 22.75	6.74	*
Previous Matchups at probability 0.408
Rider Count	98
Avg Rider Rating	.266
Total Outs	148
Qualified Rides	67
Riding %	45.27%
87+ points	16.89%</t>
  </si>
  <si>
    <t>Keyshawn Whitehorse on 816 Bad Bob (D4CC)
Qualified Ride Probability: 52.1% (confidence 10 of 10)
Ride Score Potential: 83.68 to 89.68 points
Keyshawn Whitehorse Riding Hand: Right
Career: 363 for 944 - 38.45% - Rider Rating: *.293
Short Rounds: 44 for 145 - 30.34%
Current Streak: 9 / 15 - 60.00%
PBR Current Season: Rank: 9 (34 for 71 - 47.9%) 405.00 pts (-487.5) - $159,855.64
PBR Points Per Out: 6 - Points Per QR: 12
vs. Left: 84-221 (27.54%) -- vs. Right: 138-152 (47.59%) -- vs. ?: 37-56 (39.78%) -- +20.05%/9.14% RIGHT
816 Bad Bob - PBS - 10262490
Power Rating: 61.01
ALL: 27 outs 12 rides - 55.56%
UTB: 13 outs 7 rides - 46.15%
vs. Left:  12-8 - 60.00%
vs. Right: 3-4 - 42.86%
vs. Top:   5-9 - 35.71%
Riding Hand Advantage: RIGHT (17.00%)
Previous Outs for 816 Bad Bob
Event	Level	Matchup	Score	Marks	Time	Notes
Billings Apr '26	PBR	Andy Guzman	-	20.80 - 21.10	4.86	*
Tulsa Jan '26	PBR	Dione de Souza Ribeiro	-	21.15 - 21.70	3.26	*
Tucson Dec '25	PBR	Colt Robinson	-	21.65 - 21.60	7.70	*
Las Vegas Dec '25	PBR	Dalton Allred	-	22.00 - 21.40	6.75	*
Las Vegas Oct '25	PBR	Alvaro Ariel	86.00	21.25 - 20.75	8.00	*
Ennis Oct '25	OPEN	* Aaron Pass	-	21.78 - 21.78	4.85	*
Oklahoma City Sep '25	OPEN	Natanael Serra Aires	-	21.25 - 21.50	4.20	*
Greensboro Sep '25	PBR	* Luciano De Castro	-	18.25 - 17.75	-	RR inf
Greensboro Sep '25	PBR	* Thiago Salgado	-	21.75 - 22.00	5.58	*
Austin Aug '25	PBR	Natanael Serra Aires	-	21.00 - 21.00	6.41	*
Duluth Jul '25	PBR	* Jose Vitor Leme	86.50	21.00 - 21.00	8.00	*
Duluth Jul '25	PBR	* Ramon de Lima	-	21.00 - 21.00	7.22	*
Oklahoma City Jul '25	PBR	* Luciano De Castro	86.75	21.00 - 21.25	8.00	*
Oklahoma City Jul '25	PBR	Caden Bunch	-	21.50 - 21.50	6.11	*
Grandview Jun '25	OPEN	* Thiago Salgado	87.40	21.37 - 21.37	8.00	*
Previous Matchups at probability 0.521
Rider Count	40
Avg Rider Rating	.316
Total Outs	57
Qualified Rides	37
Riding %	64.91%
87+ points	21.05%</t>
  </si>
  <si>
    <t>Hudson Bolton on 67 Benjamin Ranklin (TFRS)
Qualified Ride Probability: 36.9% (confidence 10 of 10)
Ride Score Potential: 83.47 to 89.47 points
Hudson Bolton Riding Hand: Left
Career: 140 for 260 - 53.85% - Rider Rating: *.368
Short Rounds: 10 for 21 - 47.62%
Current Streak: 8 / 15 - 53.33%
PBR Current Season: Rank: 22 (15 for 31 - 48.4%) 247.00 pts (-645.5) - $73,908.24
PBR Points Per Out: 8 - Points Per QR: 16
vs. Left: 65-43 (60.19%) -- vs. Right: 28-35 (44.44%) -- vs. ?: 15-14 (51.72%) -- +15.75%/6.34% LEFT
67 Benjamin Ranklin - PBS -
Power Rating: 84.69
ALL: 30 outs 4 rides - 86.67%
UTB: 21 outs 3 rides - 85.71%
vs. Left:  6-1 - 85.71%
vs. Right: 19-3 - 86.36%
vs. Top:   18-3 - 85.71%
Riding Hand Advantage: LEFT (1.00%)
Previous Outs for 67 Benjamin Ranklin
Event	Level	Matchup	Score	Marks	Time	Notes
Albuquerque Mar '26	PBR	* Sage Kimzey	-	21.85 - 21.85	7.34	*
Salt Lake City Feb '26	PBR	* Julio Cesar Marques	-	21.35 - 21.10	7.15	*
Sacramento Jan '26	PBR	Alison dos Santos	-	21.40 - 21.30	4.25	*
Las Vegas Oct '25	PBR	* Eduardo Aparecido	-	21.25 - 21.25	3.72	*
Las Vegas Oct '25	PBR	* Ethan Winckler	-	21.50 - 21.25	3.18	*
Glendale Oct '25	PBR	Jean Carlos Teodoro	-	20.50 - 21.00	4.61	*
Glendale Oct '25	PBR	Kase Hitt	-	21.50 - 21.50	4.75	*
Fort Worth Sep '25	PBR	Tate Pollmeier	-	21.25 - 21.50	4.64	*
Fort Collins Jul '25	PBR	Andy Guzman	-	20.75 - 20.75	2.83	*
Fort Collins Jul '25	PBR	* Leonardo Castro	-	21.00 - 20.75	6.83	*
Evergreen Jun '25	PRCA	Mason Reine	-	21.00 - 20.00	4.00	(nt)
Fort Worth (PBRF) May '25	PBR	* Julio Cesar Marques	-	20.00 - 20.50	6.85	*
Fort Worth (PBRF) May '25	PBR	* Kaique Pacheco	-	21.25 - 21.50	2.75	*
Nampa Apr '25	PBR	* Julio Cesar Marques	-	21.25 - 21.25	3.70	*
Billings Apr '25	PBR	* Austin Richardson	-	20.75 - 20.50	6.35	*
Previous Matchups at probability 0.369
Rider Count	133
Avg Rider Rating	.239
Total Outs	192
Qualified Rides	72
Riding %	37.5%
87+ points	10.94%</t>
  </si>
  <si>
    <t>Koltin Hevalow on -1K Johnny Dang (HWKN)
Qualified Ride Probability: 43.1% (confidence 8 of 10)
Ride Score Potential: 85.69 to 91.69 points
Koltin Hevalow Riding Hand: Left
Career: 154 for 416 - 37.02% - Rider Rating: *.266
Short Rounds: 9 for 40 - 22.5%
Current Streak: 2 / 15 - 13.33%
PBR Current Season: Rank: 23 (35 for 80 - 43.8%) 246.50 pts (-646) - $123,896.04
PBR Points Per Out: 3 - Points Per QR: 7
vs. Left: 108-98 (52.43%) -- vs. Right: 24-81 (22.86%) -- vs. ?: 10-22 (31.25%) -- +29.57%/15.41% LEFT
-1K Johnny Dang - PBS - 10270857
Power Rating: 42.09
ALL: 10 outs 3 rides - 70%
vs. Left:  1-0 - 100.00%
vs. Right: 2-3 - 40.00%
vs. Top:   0-1 - 0.00%
Riding Hand Advantage: RIGHT (60.00%)
Previous Outs for -1K Johnny Dang
Event	Level	Matchup	Score	Marks	Time	Notes
Oakland Apr '26	PBR	Keola Nishimoto	-	21.70 - 20.70	1.09	*
Palm Desert Mar '26	PBR	Grayson Cole	-	22.20 - 21.40	1.95	*
Bakersfield Mar '26	PBR	Eric Novoa	88.80	22.00 - 21.80	8.00	*
Reno Feb '26	PBR	Jose Natanael Marcodes da Silva	-	21.65 - 21.55	1.98	*
Salt Lake City Feb '26	PBR	Callum Miller	-	22.15 - 21.75	2.67	*
Salt Lake City Feb '26	PBR	Cleber Henrique Marques	-	21.70 - 21.90	1.91	*
Sacramento Jan '26	PBR	* Lucas Divino	84.30	21.15 - 21.60	8.00	*
Ontario Jan '26	PBR	Wyatt Vineyard	-	21.40 - 21.70	2.73	*
Portland Jan '26	PBR	* Lane Vaughan	-	-	-	RR chute
Las Vegas Dec '25	PBR	Dalton Allred	90.20	22.50 - 21.60	8.00	*
Ardmore Mar '25	PRCAX	James Cole	-	21.00 - 22.00	2.82	*
Previous Matchups at probability 0.431
Rider Count	99
Avg Rider Rating	.258
Total Outs	124
Qualified Rides	52
Riding %	41.94%
87+ points	13.71%</t>
  </si>
  <si>
    <t>Claudio Montanha Jr. on 120 Smooth Violation (TFRS)
Qualified Ride Probability: 48.3% (confidence 9 of 10)
Ride Score Potential: 83.75 to 89.75 points
Claudio Montanha Jr. Riding Hand: Right
Career: 335 for 867 - 38.64% - Rider Rating: *.274
Short Rounds: 39 for 128 - 30.47%
Current Streak: 9 / 15 - 60.00%
PBR Current Season: Rank: 9 (35 for 69 - 50.7%) 405.00 pts (-487.5) - $166,975.45
PBR Points Per Out: 6 - Points Per QR: 12
vs. Left: 75-192 (28.09%) -- vs. Right: 139-123 (53.05%) -- vs. ?: 31-54 (36.47%) -- +24.96%/14.41% RIGHT
120 Smooth Violation - PBS -
Power Rating: 55.03
ALL: 17 outs 10 rides - 41.18%
UTB: 11 outs 8 rides - 27.27%
vs. Left:  1-9 - 10.00%
vs. Right: 5-1 - 83.33%
vs. Top:   3-6 - 33.33%
Riding Hand Advantage: LEFT (73.00%)
Previous Outs for 120 Smooth Violation
Event	Level	Matchup	Score	Marks	Time	Notes
Albuquerque Mar '26	PBR	Kase Hitt	86.45	21.40 - 21.40	8.00	*
Sacramento Jan '26	PBR	Andy Guzman	85.50	21.30 - 21.30	8.00	*
Las Vegas Oct '25	PBR	Ramon Fiorini	-	20.50 - 20.75	4.47	*
Glendale Oct '25	PBR	* John Crimber	86.25	21.00 - 20.75	8.00	*
Glendale Oct '25	PBR	* Bob Mitchell	-	-	-	RR foul
Waco Oct '25	PRCA	Kristopher Baker	-	21.50 - 21.00	3.61	*
Fort Worth Sep '25	PBR	Natanael Serra Aires	86.50	21.25 - 21.00	8.00	*
Fort Worth Sep '25	PBR	* Paulo Eduardo Rossetto	87.75	21.50 - 21.50	8.00	*
Eagle Jul '25	PRCA	Mason Spain	-	20.00 - 21.50	3.16	*
Fort Collins Jul '25	PBR	* Sandro Batista	85.50	20.50 - 21.00	8.00	*
Fort Collins Jul '25	PBR	* Daylon Swearingen	87.50	21.25 - 21.25	8.00	*
Evergreen Jun '25	PRCA	Cooper McClain	-	22.00 - 19.00	4.00	(nt)
Fort Worth (PBRF) May '25	PBR	* Vinicius Pinheiro Correa	-	21.50 - 21.50	4.20	*
Fort Worth (PBRF) May '25	PBR	Murilo Henrique de Oliveira	87.75	21.25 - 21.25	8.00	*
Fort Worth (PBRF) May '25	PBR	* Dener Barbosa	86.75	21.00 - 21.25	8.00	*
Previous Matchups at probability 0.483
Rider Count	48
Avg Rider Rating	.296
Total Outs	67
Qualified Rides	44
Riding %	65.67%
87+ points	17.91%</t>
  </si>
  <si>
    <t>Lucas Divino on 61G Big Timber (BSBL)
Qualified Ride Probability: 29.9% (confidence 8 of 10)
Ride Score Potential: 83.6 to 89.6 points
Lucas Divino Riding Hand: Right
Career: 232 for 601 - 38.6% - Rider Rating: *.304
Short Rounds: 29 for 74 - 39.19%
Current Streak: 4 / 15 - 26.67%
PBR Current Season: Rank: 32 (19 for 51 - 37.3%) 150.00 pts (-742.5) - $77,559.34
PBR Points Per Out: 3 - Points Per QR: 8
vs. Left: 42-122 (25.61%) -- vs. Right: 130-122 (51.59%) -- vs. ?: 12-30 (28.57%) -- +25.98%/12.99% RIGHT
61G Big Timber - PBS - 10229166
Power Rating: 68.46
ALL: 13 outs 4 rides - 69.23%
UTB: 9 outs 3 rides - 66.67%
vs. Left:  2-2 - 50.00%
vs. Right: 6-1 - 85.71%
vs. Top:   4-1 - 80.00%
Riding Hand Advantage: LEFT (36.00%)
Previous Outs for 61G Big Timber
Event	Level	Matchup	Score	Marks	Time	Notes
Jacksonville Feb '26	PBR	* Manoelito de Souza Junior	79.25	19.65 - 20.65	8.00	*
Pittsburgh Feb '26	PBR	* Brady Fielder	-	21.20 - 21.05	3.21	*
Tampa Jan '26	PBR	Callum Miller	-	21.45 - 21.40	7.08	*
New York Jan '26	PBR	* Cort McFadden	87.00	21.00 - 21.35	8.00	*
New York Jan '26	PBR	Alvaro Ariel	-	21.35 - 21.75	2.36	*
Manchester Dec '25	PBR	* Kaique Pacheco	-	21.40 - 20.20	2.16	*
Glendale Oct '25	PBR	Kase Hitt	82.50	21.00 - 21.25	8.00	*
Greensboro Sep '25	PBR	* Maverick Smith	-	21.75 - 22.00	3.17	*
Greensboro Sep '25	PBR	* Dawson Branton	-	21.75 - 21.50	2.51	*
Archdale Jun '25	PBR	Carlos Garcia	-	21.50 - 21.00	2.27	*
Archdale Jun '25	PBR	Gabriel Thiago Da Silva	-	21.50 - 21.00	-	RR no nod
Archdale Jun '24	PBR	Caleb Cantrell	85.00	20.50 - 21.00	8.00	*
Archdale Jun '24	PBR	Alex Cantoral	-	21.50 - 21.50	3.24	*
Lewisville Sep '23	PBR	Ben Bode	-	21.00 - 20.00	2.57	*
Previous Matchups at probability 0.299
Rider Count	207
Avg Rider Rating	.201
Total Outs	317
Qualified Rides	94
Riding %	29.65%
87+ points	8.83%</t>
  </si>
  <si>
    <t>Paulo Eduardo Rossetto on X26 Real Deal (BSBL)
Qualified Ride Probability: 64.5% (confidence 8 of 10)
Ride Score Potential: 82.61 to 88.61 points
Paulo Eduardo Rossetto Riding Hand: Right
Career: 142 for 334 - 42.51% - Rider Rating: *.316
Short Rounds: 16 for 39 - 41.03%
Current Streak: 3 / 15 - 20.00%
PBR Current Season: Rank: 7 (42 for 84 - 50%) 497.00 pts (-395.5) - $235,394.68
PBR Points Per Out: 6 - Points Per QR: 12
vs. Left: 36-67 (34.95%) -- vs. Right: 70-62 (53.03%) -- vs. ?: 11-13 (45.83%) -- +18.08%/10.52% RIGHT
X26 Real Deal - PBS -
Power Rating: 51.27
ALL: 14 outs 9 rides - 35.71%
UTB: 11 outs 9 rides - 18.18%
vs. Left:  2-2 - 50.00%
vs. Right: 1-7 - 12.50%
vs. Top:   2-9 - 18.18%
Riding Hand Advantage: RIGHT (38.00%)
Previous Matchups
Event	Level	Matchup	Score	Marks	Time	Notes
Glendale Oct '25	PBR	Paulo Eduardo Rossetto on 52820	86.25	21.00 - 21.00	8.00	*
Previous Outs for X26 Real Deal
Event	Level	Matchup	Score	Marks	Time	Notes
Tallahassee Mar '26	PBR	* Lucas Divino	84.95	20.80 - 20.60	8.00	*
Bridgeport Feb '26	PBR	* Andrew Alvidrez	86.40	21.00 - 20.95	8.00	*
Jacksonville Feb '26	PBR	* Kaiden Loud	83.30	20.00 - 20.50	8.00	*
Pittsburgh Feb '26	PBR	* Hudson Bolton	-	21.00 - 21.25	4.78	*
Milwaukee Jan '26	PBR	* Daylon Swearingen	87.20	21.00 - 21.15	8.00	*
New York Jan '26	PBR	* Cassio Dias	86.35	20.65 - 21.30	8.00	*
Manchester Dec '25	PBR	* Kaiden Loud	84.70	20.35 - 20.95	8.00	*
Las Vegas Oct '25	PBR	* Wingson Henrique da Silva	-	21.50 - 21.50	6.37	*
Glendale Oct '25	PBR	* Paulo Eduardo Rossetto	86.25	21.00 - 21.00	8.00	*
Glendale Oct '25	PBR	* Daniel Keeping	88.25	21.50 - 21.50	8.00	*
Charlottesville Sep '25	PBR	Lucas Ferreira	-	21.00 - 21.00	1.25	*
Tacoma Apr '25	PBR	* Claudio Montanha Jr.	83.50	20.00 - 20.75	8.00	*
Memphis Feb '25	PBR	Max Castro	-	20.50 - 20.50	2.14	*
Fort Worth Jul '24	PBR	Joao Mauro Kugel	-	21.00 - 21.00	5.24	*
Previous Matchups at probability 0.645
Rider Count	11
Avg Rider Rating	.323
Total Outs	11
Qualified Rides	6
Riding %	54.55%
87+ points	18.18%</t>
  </si>
  <si>
    <t>Eric Novoa on 95J Alakazoo (FFRF)
Qualified Ride Probability: 34.3% (confidence 10 of 10)
Ride Score Potential: 84.44 to 90.44 points
Eric Novoa Riding Hand: Right
Career: 29 for 72 - 40.28% - Rider Rating: .167
Short Rounds: 3 for 13 - 23.08%
Current Streak: 7 / 15 - 46.67%
PBR Current Season: Rank: 67 (0 for 2 - 0%) 0.00 pts (-892.5) - $9,000.00
PBR Points Per Out: 0 - Points Per QR: 0
vs. Left: 6-12 (33.33%) -- vs. Right: 11-11 (50%) -- vs. ?: 7-9 (43.75%) -- +16.67%/9.72% RIGHT
95J Alakazoo - PBS - 10257997
Power Rating: 72.58
ALL: 36 outs 14 rides - 61.11%
UTB: 23 outs 7 rides - 69.57%
vs. Left:  11-11 - 50.00%
vs. Right: 9-3 - 75.00%
vs. Top:   11-10 - 52.38%
Riding Hand Advantage: LEFT (25.00%)
Previous Outs for 95J Alakazoo
Event	Level	Matchup	Score	Marks	Time	Notes
Billings Apr '26	PBR	* Lucas Divino	87.75	21.35 - 21.45	8.00	*
Grand Forks Feb '26	PBR	Tucker Mertens	-	21.10 - 21.05	2.02	*
Tulsa Jan '26	PBR	* Dener Barbosa	-	20.95 - 21.05	5.06	*
Granbury Nov '25	OPEN	* Thiago Salgado	86.00	20.97 - 20.97	8.00	*
Las Vegas Oct '25	PBR	Miguel de Jesus	-	20.50 - 21.00	2.63	*
Fort Worth Sep '25	PBR	Riquelmi Silva	86.00	21.00 - 21.00	8.00	*
Fort Worth Sep '25	PBR	* Bob Mitchell	-	21.25 - 21.00	2.89	*
Greensboro Sep '25	PBR	* Braidy Randolph	-	21.25 - 21.50	2.88	*
Greensboro Sep '25	PBR	Macaulie Leather	-	20.75 - 21.00	3.98	*
Austin Aug '25	PBR	Jeferson Silva	-	21.25 - 21.75	2.01	*
Austin Aug '25	PBR	Dalton Krantz	-	21.50 - 21.75	3.92	*
Duluth Jul '25	PBR	* Luciano De Castro	87.25	21.25 - 21.00	8.00	*
Duluth Jul '25	PBR	Brody Robinson	-	21.50 - 22.00	2.99	*
Oklahoma City Jul '25	PBR	Eric Henrique Domingos	-	22.00 - 22.25	2.45	*
Oklahoma City Jul '25	PBR	* Sandro Batista	88.00	21.75 - 21.50	8.00	*
Previous Matchups at probability 0.343
Rider Count	184
Avg Rider Rating	.223
Total Outs	265
Qualified Rides	104
Riding %	39.25%
87+ points	11.32%</t>
  </si>
  <si>
    <t>Macaulie Leather on 102 Wreck It Ralph (THCC)
Qualified Ride Probability: 23.2% (confidence 6 of 10)
Ride Score Potential: 81.2 to 87.2 points
Macaulie Leather Riding Hand: Left
Career: 33 for 82 - 40.24% - Rider Rating: .193
Short Rounds: 5 for 9 - 55.56%
Current Streak: 4 / 15 - 26.67%
PBR Current Season: Rank: 67 (4 for 27 - 14.8%) 0.00 pts (-892.5) - $68,882.98
PBR Points Per Out: 0 - Points Per QR: 0
vs. Left: 18-15 (54.55%) -- vs. Right: 4-13 (23.53%) -- vs. ?: 3-8 (27.27%) -- +31.02%/14.31% LEFT
102 Wreck It Ralph PBS 10262368
no compiled stats
Previous Outs for 102 Wreck It Ralph
Event	Level	Matchup	Score	Marks	Time	Notes
Indianapolis Mar '26	PBR	* Bob Mitchell	-	20.70 - 20.70	5.50	*
Reno Feb '26	PBR	Saul Zambrano	-	20.85 - 19.55	2.20	*
Fort Worth Sep '25	PBR	Romario Leite	-	21.50 - 20.00	3.08	*
Previous Matchups at probability 0.232
Rider Count	262
Avg Rider Rating	.166
Total Outs	403
Qualified Rides	95
Riding %	23.57%
87+ points	3.23%</t>
  </si>
  <si>
    <t>Vinicius Pinheiro Correa on 1710 Taco Truck (TFRS)
Qualified Ride Probability: 37.6% (confidence 5 of 10)
Ride Score Potential: -1 to 5 points
Vinicius Pinheiro Correa Riding Hand: Left
Career: 44 for 122 - 36.07% - Rider Rating: *.215
Short Rounds: 4 for 16 - 25%
Current Streak: 8 / 15 - 53.33%
PBR Current Season: Rank: 67 (1 for 4 - 25%) 0.00 pts (-892.5) - $15,572.53
PBR Points Per Out: 0 - Points Per QR: 0
vs. Left: 25-23 (52.08%) -- vs. Right: 3-29 (9.38%) -- vs. ?: 6-8 (42.86%) -- +42.7%/16.01% LEFT
1710 Taco Truck PBS
no compiled stats
no recorded outs
Previous Matchups at probability 0.376
Rider Count	128
Avg Rider Rating	.238
Total Outs	176
Qualified Rides	73
Riding %	41.48%
87+ points	10.8%</t>
  </si>
  <si>
    <t>Dener Barbosa on C1 Me More Cowboy (TFRS)
Qualified Ride Probability: 50.2% (confidence 6 of 10)
Ride Score Potential: 81.2 to 87.2 points
Dener Barbosa Riding Hand: Left
Career: 380 for 760 - 50% - Rider Rating: *.369
Short Rounds: 50 for 140 - 35.71%
Current Streak: 6 / 15 - 40.00%
PBR Current Season: Rank: 41 (16 for 37 - 43.2%) 74.00 pts (-818.5) - $93,253.57
PBR Points Per Out: 2 - Points Per QR: 5
vs. Left: 198-120 (62.26%) -- vs. Right: 48-133 (26.52%) -- vs. ?: 36-28 (56.25%) -- +35.74%/12.26% LEFT
C1 Me More Cowboy PBS
no compiled stats
Previous Outs for C1 Me More Cowboy
Event	Level	Matchup	Score	Marks	Time	Notes
Salt Lake City Feb '26	PBR	* Alan de Souza	82.35	20.50 - 20.60	8.00	*
Sacramento Jan '26	PBR	* Marco Rizzo	-	-	-	RR fell
Previous Matchups at probability 0.502
Rider Count	45
Avg Rider Rating	.293
Total Outs	54
Qualified Rides	27
Riding %	50%
87+ points	9.26%</t>
  </si>
  <si>
    <t>Ramon Fiorini on 230 Dance Monkey (DMDC)
Qualified Ride Probability: 24.9% (confidence 6 of 10)
Ride Score Potential: 82.53 to 88.53 points
Ramon Fiorini Riding Hand: Right
Career: 34 for 99 - 34.34% - Rider Rating: .160
Short Rounds: 2 for 5 - 40%
Current Streak: 7 / 15 - 46.67%
PBR Current Season: Rank: 66 (1 for 5 - 20%) 7.00 pts (-885.5) - $39,101.98
PBR Points Per Out: 1 - Points Per QR: 7
vs. Left: 8-12 (40%) -- vs. Right: 14-21 (40%) -- vs. ?: 4-16 (20%) -- +0%/5.66% PUSH
230 Dance Monkey PBS
no compiled stats
Previous Outs for 230 Dance Monkey
Event	Level	Matchup	Score	Marks	Time	Notes
Everett Feb '26	PBR	Tahj Wells	-	21.60 - 21.10	3.02	*
Nampa Jan '26	PBR	Jace Catlin	-	18.90 - 21.20	5.08	*
Portland Jan '26	PBR	Colt Schneiderman	-	21.60 - 20.90	1.95	*
Previous Matchups at probability 0.249
Rider Count	264
Avg Rider Rating	.174
Total Outs	411
Qualified Rides	91
Riding %	22.14%
87+ points	3.41%</t>
  </si>
  <si>
    <t>Mason Taylor on 22J Average Joe (TFRS)
Qualified Ride Probability: 32% (confidence 8 of 10)
Ride Score Potential: 81.78 to 87.78 points
Mason Taylor Riding Hand: Right
Career: 235 for 693 - 33.91% - Rider Rating: *.250
Short Rounds: 22 for 99 - 22.22%
Current Streak: 2 / 15 - 13.33%
PBR Current Season: Rank: 51 (3 for 28 - 10.7%) 16.00 pts (-876.5) - $28,189.34
PBR Points Per Out: 1 - Points Per QR: 5
vs. Left: 63-164 (27.75%) -- vs. Right: 88-128 (40.74%) -- vs. ?: 16-34 (32%) -- +12.99%/6.83% RIGHT
22J Average Joe - PBS -
Power Rating: 61.69
ALL: 12 outs 5 rides - 58.33%
UTB: 5 outs 2 rides - 60%
vs. Left:  3-4 - 42.86%
vs. Right: 4-1 - 80.00%
vs. Top:   4-3 - 57.14%
Riding Hand Advantage: LEFT (37.00%)
Previous Outs for 22J Average Joe
Event	Level	Matchup	Score	Marks	Time	Notes
Billings Apr '26	PBR	* Julio Cesar Marques	-	21.40 - 21.30	4.85	*
Bucktown Feb '26	OPEN	* Daniel Keeping	84.00	20.25 - 20.25	8.00	*
Salt Lake City Feb '26	PBR	* Hudson Bolton	-	17.80 - 16.75	-	RR inf
Sacramento Jan '26	PBR	Wyatt Vineyard	-	-	-	RR foul
Sacramento Jan '26	PBR	* Kade Madsen	-	21.55 - 21.60	4.75	*
Fort Worth Nov '25	PBR	Gavin Mitchell	-	-	-	*
Glendale Oct '25	PBR	* Hudson Bolton	87.25	21.00 - 21.25	8.00	*
Glendale Oct '25	PBR	Riquelmi Silva	-	21.50 - 22.00	7.21	*
Eagle Jul '25	PRCA	Dillon Tyner	84.00	22.00 - 20.00	8.00	*
Fort Collins Jul '25	PBR	* Eduardo Aparecido	-	19.25 - 18.25	6.80	*
Fort Collins Jul '25	PBR	* Ezekiel Mitchell	-	21.50 - 21.50	2.60	*
Evergreen Jun '25	PRCA	Brody Nelson	-	22.00 - 21.00	4.00	(nt)
Fort Worth Mar '25	PBR	Anthony Lyons	-	21.00 - 21.50	5.36	*
Fort Worth Nov '24	PBR	Rogerio Venancio	84.50	21.00 - 21.00	8.00	*
Previous Matchups at probability 0.32
Rider Count	185
Avg Rider Rating	.207
Total Outs	277
Qualified Rides	96
Riding %	34.66%
87+ points	7.22%</t>
  </si>
  <si>
    <t>Ednelio Rodrigues on 22-9 Kay Dog (BMJM)
Qualified Ride Probability: 17.7% (confidence 7 of 10)
Ride Score Potential: 83.72 to 89.72 points
Ednelio Rodrigues Riding Hand: Left
Career: 75 for 287 - 26.13% - Rider Rating: *.206
Short Rounds: 5 for 27 - 18.52%
Current Streak: 0 / 15 - 0.00%
PBR Current Season: Rank: 67 (1 for 6 - 16.7%) 0.00 pts (-892.5) - $22,645.05
PBR Points Per Out: 0 - Points Per QR: 0
vs. Left: 38-58 (39.58%) -- vs. Right: 11-63 (14.86%) -- vs. ?: 5-20 (20%) -- +24.72%/13.45% LEFT
22-9 Kay Dog - PBS -
Power Rating: 73.28
ALL: 5 outs 1 rides - 80%
vs. Left:  1-0 - 100.00%
vs. Right: 2-1 - 66.67%
vs. Top:   2-0 - 100.00%
Riding Hand Advantage: UNKNOWN (0.00%)
Previous Outs for 22-9 Kay Dog
Event	Level	Matchup	Score	Marks	Time	Notes
Billings Apr '26	PBR	* Kaiden Loud	-	21.10 - 20.90	3.07	*
Reading Mar '26	PBR	* Dener Barbosa	-	21.60 - 21.80	1.97	*
Reading Mar '26	PBR	Gustavo Santos Borges	-	19.70 - 21.20	3.82	*
Perry Feb '26	PRCA	Taylor Allen	88.50	22.00 - 21.50	8.00	*
Perry Feb '26	PRCA	Dustin Boquet	-	21.00 - 21.00	4.00	(nt)
Previous Matchups at probability 0.177
Rider Count	234
Avg Rider Rating	.128
Total Outs	320
Qualified Rides	48
Riding %	15%
87+ points	1.88%</t>
  </si>
  <si>
    <t>Vinicius Rodrigues Pereira on 53 Keystone (CLPB)
Qualified Ride Probability: 24.7% (confidence 6 of 10)
Ride Score Potential: 84.4 to 90.4 points
Vinicius Rodrigues Pereira Riding Hand: Right
Career: 23 for 82 - 28.05% - Rider Rating: .166
Short Rounds: 2 for 11 - 18.18%
Current Streak: 1 / 15 - 6.67%
PBR Current Season: Rank: 67 (0 for 3 - 0%) 0.00 pts (-892.5) - $17,646.45
PBR Points Per Out: 0 - Points Per QR: 0
vs. Left: 5-17 (22.73%) -- vs. Right: 9-11 (45%) -- vs. ?: 5-13 (27.78%) -- +22.27%/16.95% RIGHT
53 Keystone PBS
no compiled stats
Previous Outs for 53 Keystone
Event	Level	Matchup	Score	Marks	Time	Notes
Palm Desert Mar '26	PBR	Eric Novoa	-	21.20 - 21.40	3.76	*
Palm Desert Mar '26	PBR	Grayson Cole	87.60	21.30 - 21.50	8.00	*
Previous Matchups at probability 0.247
Rider Count	260
Avg Rider Rating	.175
Total Outs	378
Qualified Rides	106
Riding %	28.04%
87+ points	7.14%</t>
  </si>
  <si>
    <t>Grayson Cole on 048 Rank Hank (BSBL)
Qualified Ride Probability: 26.6% (confidence 10 of 10)
Ride Score Potential: 83.01 to 89.01 points
Grayson Cole Riding Hand: Right
Career: 184 for 747 - 24.63% - Rider Rating: .167
Short Rounds: 13 for 72 - 18.06%
Current Streak: 3 / 15 - 20.00%
PBR Current Season: Rank: 60 (2 for 17 - 11.8%) 8.00 pts (-884.5) - $55,628.97
PBR Points Per Out: 0 - Points Per QR: 4
vs. Left: 31-192 (13.9%) -- vs. Right: 80-133 (37.56%) -- vs. ?: 27-81 (25%) -- +23.66%/12.93% RIGHT
048 Rank Hank - PBS - 10243021
Power Rating: 69.68
ALL: 31 outs 16 rides - 48.39%
UTB: 27 outs 14 rides - 48.15%
vs. Left:  5-13 - 27.78%
vs. Right: 10-3 - 76.92%
vs. Top:   10-13 - 43.48%
Riding Hand Advantage: LEFT (49.00%)
Previous Outs for 048 Rank Hank
Event	Level	Matchup	Score	Marks	Time	Notes
Bridgeport Feb '26	PBR	Andy Guzman	-	21.10 - 21.10	3.37	*
Jacksonville Feb '26	PBR	* Maverick Smith	-	19.30 - 19.80	-	RR inf
Pittsburgh Feb '26	PBR	* Bruno Carvalho	83.45	20.95 - 21.10	8.00	*
Tampa Jan '26	PBR	* Kade Madsen	-	21.30 - 21.05	3.19	*
Milwaukee Jan '26	PBR	* Kaiden Loud	-	21.30 - 21.10	5.66	*
Boston Jan '26	PBR	* Everton Natan da Silva	-	21.30 - 21.20	3.77	*
Manchester Dec '25	PBR	Cleber Henrique Marques	-	21.05 - 21.05	3.77	*
St. Louis Dec '25	PBR	Miguel de Jesus	84.70	20.55 - 20.60	8.00	*
St. Louis Dec '25	PBR	Dustin Herman	-	21.00 - 21.10	2.25	*
Granbury Nov '25	OPEN	* Alex Cerqueira	88.20	21.62 - 21.62	8.00	*
Las Vegas Oct '25	PBR	Wyatt Rogers	-	20.50 - 21.00	2.10	*
Glendale Oct '25	PBR	* Brady Fielder	88.25	21.50 - 21.50	8.00	*
Glendale Oct '25	PBR	* Brady Fielder	-	21.00 - 21.00	4.22	*
Fort Worth Sep '25	PBR	Murilo Henrique de Oliveira	85.25	20.75 - 20.75	8.00	*
Belmont Park Sep '25	PBR	* Josh Frost	86.00	21.00 - 21.00	8.00	*
Previous Matchups at probability 0.266
Rider Count	239
Avg Rider Rating	.181
Total Outs	360
Qualified Rides	100
Riding %	27.78%
87+ points	6.67%</t>
  </si>
  <si>
    <t>Trace Redd on 065J Uncle Doc (HWKN)
Qualified Ride Probability: 34.3% (confidence 7 of 10)
Ride Score Potential: 84.34 to 90.34 points
Trace Redd Riding Hand: Right
Career: 64 for 237 - 27% - Rider Rating: .168
Short Rounds: 4 for 26 - 15.38%
Current Streak: 4 / 15 - 26.67%
PBR Current Season: Rank: 36 (6 for 24 - 25%) 95.00 pts (-797.5) - $46,556.47
PBR Points Per Out: 4 - Points Per QR: 16
vs. Left: 9-55 (14.06%) -- vs. Right: 29-48 (37.66%) -- vs. ?: 11-19 (36.67%) -- +23.6%/10.66% RIGHT
065J Uncle Doc - PBS - 10276169
Power Rating: 52.22
ALL: 5 outs 2 rides - 60%
vs. Left:  1-1 - 50.00%
vs. Right: 1-1 - 50.00%
vs. Top:   1-2 - 33.33%
Riding Hand Advantage: UNKNOWN (0.00%)
Previous Outs for 065J Uncle Doc
Event	Level	Matchup	Score	Marks	Time	Notes
Oakland Apr '26	PBR	Jairo Castellanos	-	21.40 - 22.10	3.98	*
Salt Lake City Feb '26	PBR	* Clay Guiton	87.60	21.25 - 21.55	8.00	*
Sacramento Jan '26	PBR	* Mauricio Gulla Moreira	86.75	21.25 - 21.05	8.00	*
Anaheim Sep '25	PBR	* Guilherme Valleiras	-	-	-	RR foul
Anaheim Sep '25	PBR	* Guilherme Valleiras	-	21.75 - 21.50	6.06	*
Eugene Apr '25	PBR	Dustin Herman	-	-	-	RR chute
Fresno Mar '25	PBR	Andy Valdez	-	21.00 - 20.50	2.03	*
Previous Matchups at probability 0.343
Rider Count	184
Avg Rider Rating	.223
Total Outs	265
Qualified Rides	104
Riding %	39.25%
87+ points	11.32%</t>
  </si>
  <si>
    <t>Callum Miller on 238 Frankenstomp (TFRS)
Qualified Ride Probability: 36.1% (confidence 6 of 10)
Ride Score Potential: 85.5 to 91.5 points
Callum Miller Riding Hand: Right
Career: 128 for 442 - 28.96% - Rider Rating: .190
Short Rounds: 19 for 68 - 27.94%
Current Streak: 2 / 15 - 13.33%
PBR Current Season: Rank: 27 (21 for 58 - 36.2%) 209.00 pts (-683.5) - $103,513.47
PBR Points Per Out: 4 - Points Per QR: 10
vs. Left: 24-111 (17.78%) -- vs. Right: 65-81 (44.52%) -- vs. ?: 10-31 (24.39%) -- +26.74%/15.56% RIGHT
238 Frankenstomp PBS 10262517
no compiled stats
Previous Outs for 238 Frankenstomp
Event	Level	Matchup	Score	Marks	Time	Notes
Billings Apr '26	PBR	* Cort McFadden	86.90	21.55 - 21.70	8.00	*
Previous Matchups at probability 0.361
Rider Count	142
Avg Rider Rating	.226
Total Outs	211
Qualified Rides	79
Riding %	37.44%
87+ points	9.48%</t>
  </si>
  <si>
    <t>Julio Cesar Marques on W251 Kinky Brahmer (CWTZ)
Qualified Ride Probability: 24.7% (confidence 7 of 10)
Ride Score Potential: 82.77 to 88.77 points
Julio Cesar Marques Riding Hand: Right
Career: 127 for 330 - 38.48% - Rider Rating: *.269
Short Rounds: 13 for 35 - 37.14%
Current Streak: 5 / 15 - 33.33%
PBR Current Season: Rank: 12 (27 for 69 - 39.1%) 400.00 pts (-492.5) - $126,110.26
PBR Points Per Out: 6 - Points Per QR: 15
vs. Left: 29-65 (30.85%) -- vs. Right: 56-50 (52.83%) -- vs. ?: 14-23 (37.84%) -- +21.98%/14.35% RIGHT
W251 Kinky Brahmer - PBS -
Power Rating: 75.91
ALL: 9 outs 0 rides - 100%
vs. Left:  3-0 - 100.00%
vs. Right: 2-0 - 100.00%
vs. Top:   3-0 - 100.00%
Riding Hand Advantage: UNKNOWN (0.00%)
Previous Outs for W251 Kinky Brahmer
Event	Level	Matchup	Score	Marks	Time	Notes
Billings Apr '26	PBR	* Daniel Keeping	-	20.45 - 19.05	5.24	*
Billings Apr '26	PBR	* Keyshawn Whitehorse	-	22.15 - 22.00	5.60	*
Everett Feb '26	PBR	Shane Scott	-	21.30 - 20.70	2.55	*
Everett Feb '26	PBR	Cash Keeling	-	21.40 - 21.20	1.98	*
Nampa Jan '26	PBR	Jack Strong	-	-	-	RR chute
Spokane Jan '26	PBR	Dakota Johnson	-	21.00 - 20.60	3.31	*
Spokane Jan '26	PBR	* Dawson Branton	-	22.00 - 20.40	2.27	*
Portland Jan '26	PBR	Alex Koberstein	-	21.30 - 20.90	2.36	*
Kennewick Sep '25	PBR	Dustin Martinez	-	19.50 - 21.00	4.68	*
St. Paul Jul '25	PRCA	Juan Carrillo	-	20.00 - 22.00	3.31	*
Previous Matchups at probability 0.247
Rider Count	260
Avg Rider Rating	.175
Total Outs	378
Qualified Rides	106
Riding %	28.04%
87+ points	7.14%</t>
  </si>
  <si>
    <t>&lt;h2&gt;Rider&lt;/h2&gt;&lt;p&gt;&lt;strong&gt;Career:&amp;nbsp;&lt;/strong&gt;Career: 496 for 1134 - &lt;span style="color: #ff0000;"&gt;&lt;em&gt;43.74%&lt;/em&gt;&lt;/span&gt; - Rider Rating: *.360&lt;/p&gt;&lt;p&gt;&lt;strong&gt;Season:&amp;nbsp;&lt;/strong&gt;Rank&amp;nbsp;&lt;span style="color: #ff0000;"&gt;30&lt;/span&gt; (31 for 72 - &lt;em&gt;43.1%&lt;/em&gt;)&lt;em&gt;&lt;br /&gt;&lt;/em&gt;&lt;/p&gt;&lt;p&gt;&lt;strong&gt;Points:&amp;nbsp;&lt;/strong&gt;189.00 pts &lt;span style="color: #ff0000;"&gt;&lt;em&gt;(-703.5)&lt;/em&gt;&lt;/span&gt;&lt;/p&gt;&lt;p&gt;&lt;strong&gt;Earnings:&amp;nbsp;&lt;/strong&gt;&lt;span style="color: #008000;"&gt;&lt;em&gt;$133,872.04&lt;/em&gt;&lt;/span&gt;&lt;/p&gt;&lt;p&gt;&lt;strong&gt;Potential&lt;/strong&gt;:&amp;nbsp;83.15 to 89.15 points&lt;/p&gt;&lt;p&gt;&amp;nbsp;&lt;/p&gt;&lt;p&gt;&lt;span style="text-decoration: underline;"&gt;&lt;strong&gt;Bull&lt;/strong&gt;&lt;/span&gt;&lt;/p&gt;&lt;p&gt;&lt;strong&gt;ALL:&lt;/strong&gt; 31 outs 13 rides - &lt;span style="color: #ff0000;"&gt;&lt;em&gt;58.06%&lt;/em&gt;&lt;/span&gt;&lt;/p&gt;&lt;p&gt;&lt;strong&gt;UTB:&lt;/strong&gt; 17 outs 10 rides - &lt;span style="color: #ff0000;"&gt;&lt;em&gt;41.18%&lt;/em&gt;&lt;/span&gt;&lt;/p&gt;&lt;p&gt;&lt;em&gt;&lt;span style="color: #ff0000;"&gt;*No Previous Matchups&lt;/span&gt;&lt;/em&gt;&lt;/p&gt;&lt;p&gt;&amp;nbsp;&lt;/p&gt;</t>
  </si>
  <si>
    <t>Bull 0.00%</t>
  </si>
  <si>
    <t>&lt;h2&gt;Rider&lt;/h2&gt;&lt;p&gt;&lt;strong&gt;Career:&amp;nbsp;&lt;/strong&gt;Career: 112 for 417 - &lt;span style="color: #ff0000;"&gt;&lt;em&gt;26.86%&lt;/em&gt;&lt;/span&gt; - Rider Rating: *.202&lt;/p&gt;&lt;p&gt;&lt;strong&gt;Season:&amp;nbsp;&lt;/strong&gt;Rank&amp;nbsp;&lt;span style="color: #ff0000;"&gt;35&lt;/span&gt; (6 for 28 - &lt;em&gt;21.4%&lt;/em&gt;)&lt;em&gt;&lt;br /&gt;&lt;/em&gt;&lt;/p&gt;&lt;p&gt;&lt;strong&gt;Points:&amp;nbsp;&lt;/strong&gt;112.00 pts &lt;span style="color: #ff0000;"&gt;&lt;em&gt;(-780.5)&lt;/em&gt;&lt;/span&gt;&lt;/p&gt;&lt;p&gt;&lt;strong&gt;Earnings:&amp;nbsp;&lt;/strong&gt;&lt;span style="color: #008000;"&gt;&lt;em&gt;$18,250.00&lt;/em&gt;&lt;/span&gt;&lt;/p&gt;&lt;p&gt;&lt;strong&gt;Potential&lt;/strong&gt;:&amp;nbsp;81.86 to 87.86 points&lt;/p&gt;&lt;p&gt;&amp;nbsp;&lt;/p&gt;&lt;p&gt;&lt;span style="text-decoration: underline;"&gt;&lt;strong&gt;Bull&lt;/strong&gt;&lt;/span&gt;&lt;/p&gt;&lt;p&gt;&lt;strong&gt;ALL:&lt;/strong&gt; 7 outs 1 rides - &lt;span style="color: #ff0000;"&gt;&lt;em&gt;85.71%&lt;/em&gt;&lt;/span&gt;&lt;/p&gt;&lt;p&gt;&lt;em&gt;&lt;span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</si>
  <si>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94 for 332 - &lt;span style="color: #ff0000;"&gt;&lt;em&gt;28.31%&lt;/em&gt;&lt;/span&gt; - Rider Rating: .179&lt;/p&gt;&lt;p&gt;&lt;strong&gt;Season:&amp;nbsp;&lt;/strong&gt;Rank&amp;nbsp;&lt;span style="color: #ff0000;"&gt;33&lt;/span&gt; (16 for 53 - &lt;em&gt;30.2%&lt;/em&gt;)&lt;em&gt;&lt;br /&gt;&lt;/em&gt;&lt;/p&gt;&lt;p&gt;&lt;strong&gt;Points:&amp;nbsp;&lt;/strong&gt;137.00 pts &lt;span style="color: #ff0000;"&gt;&lt;em&gt;(-755.5)&lt;/em&gt;&lt;/span&gt;&lt;/p&gt;&lt;p&gt;&lt;strong&gt;Earnings:&amp;nbsp;&lt;/strong&gt;&lt;span style="color: #008000;"&gt;&lt;em&gt;$49,767.31&lt;/em&gt;&lt;/span&gt;&lt;/p&gt;&lt;p&gt;&lt;strong&gt;Potential&lt;/strong&gt;:&amp;nbsp;83.07 to 89.07 points&lt;/p&gt;&lt;p&gt;&amp;nbsp;&lt;/p&gt;&lt;p&gt;&lt;span style="text-decoration: underline;"&gt;&lt;strong&gt;Bull&lt;/strong&gt;&lt;/span&gt;&lt;/p&gt;&lt;p&gt;&lt;strong&gt;ALL:&lt;/strong&gt; 7 outs 1 rides - &lt;span style="color: #ff0000;"&gt;&lt;em&gt;85.71%&lt;/em&gt;&lt;/span&gt;&lt;/p&gt;&lt;p&gt;&lt;em&gt;&lt;span style="color: #ff0000;"&gt;*No Previous Matchups&lt;/span&gt;&lt;/em&gt;&lt;/p&gt;&lt;p&gt;&amp;nbsp;&lt;/p&gt;</t>
  </si>
  <si>
    <t>Rider 42.00%</t>
  </si>
  <si>
    <t>&lt;h2&gt;Rider&lt;/h2&gt;&lt;p&gt;&lt;strong&gt;Career:&amp;nbsp;&lt;/strong&gt;Career: 70 for 219 - &lt;span style="color: #ff0000;"&gt;&lt;em&gt;31.96%&lt;/em&gt;&lt;/span&gt; - Rider Rating: *.208&lt;/p&gt;&lt;p&gt;&lt;strong&gt;Season:&amp;nbsp;&lt;/strong&gt;Rank&amp;nbsp;&lt;span style="color: #ff0000;"&gt;42&lt;/span&gt; (9 for 34 - &lt;em&gt;26.5%&lt;/em&gt;)&lt;em&gt;&lt;br /&gt;&lt;/em&gt;&lt;/p&gt;&lt;p&gt;&lt;strong&gt;Points:&amp;nbsp;&lt;/strong&gt;71.50 pts &lt;span style="color: #ff0000;"&gt;&lt;em&gt;(-821)&lt;/em&gt;&lt;/span&gt;&lt;/p&gt;&lt;p&gt;&lt;strong&gt;Earnings:&amp;nbsp;&lt;/strong&gt;&lt;span style="color: #008000;"&gt;&lt;em&gt;$30,778.26&lt;/em&gt;&lt;/span&gt;&lt;/p&gt;&lt;p&gt;&lt;strong&gt;Potential&lt;/strong&gt;:&amp;nbsp;83.5 to 89.5 points&lt;/p&gt;&lt;p&gt;&amp;nbsp;&lt;/p&gt;&lt;p&gt;&lt;span style="text-decoration: underline;"&gt;&lt;strong&gt;Bull&lt;/strong&gt;&lt;/span&gt;&lt;/p&gt;&lt;p&gt;&lt;strong&gt;ALL:&lt;/strong&gt; 17 outs 9 rides - &lt;span style="color: #ff0000;"&gt;&lt;em&gt;47.06%&lt;/em&gt;&lt;/span&gt;&lt;/p&gt;&lt;p&gt;&lt;strong&gt;UTB:&lt;/strong&gt; 7 outs 5 rides - &lt;span style="color: #ff0000;"&gt;&lt;em&gt;28.57%&lt;/em&gt;&lt;/span&gt;&lt;/p&gt;&lt;p&gt;&lt;em&gt;&lt;span style="color: #ff0000;"&gt;*No Previous Matchups&lt;/span&gt;&lt;/em&gt;&lt;/p&gt;&lt;p&gt;&amp;nbsp;&lt;/p&gt;</t>
  </si>
  <si>
    <t>Rider 13.00%</t>
  </si>
  <si>
    <t>&lt;h2&gt;Rider&lt;/h2&gt;&lt;p&gt;&lt;strong&gt;Career:&amp;nbsp;&lt;/strong&gt;Career: 62 for 178 - &lt;span style="color: #ff0000;"&gt;&lt;em&gt;34.83%&lt;/em&gt;&lt;/span&gt; - Rider Rating: *.215&lt;/p&gt;&lt;p&gt;&lt;strong&gt;Season:&amp;nbsp;&lt;/strong&gt;Rank&amp;nbsp;&lt;span style="color: #ff0000;"&gt;9&lt;/span&gt; (27 for 72 - &lt;em&gt;37.5%&lt;/em&gt;)&lt;em&gt;&lt;br /&gt;&lt;/em&gt;&lt;/p&gt;&lt;p&gt;&lt;strong&gt;Points:&amp;nbsp;&lt;/strong&gt;405.00 pts &lt;span style="color: #ff0000;"&gt;&lt;em&gt;(-487.5)&lt;/em&gt;&lt;/span&gt;&lt;/p&gt;&lt;p&gt;&lt;strong&gt;Earnings:&amp;nbsp;&lt;/strong&gt;&lt;span style="color: #008000;"&gt;&lt;em&gt;$143,765.82&lt;/em&gt;&lt;/span&gt;&lt;/p&gt;&lt;p&gt;&lt;strong&gt;Potential&lt;/strong&gt;:&amp;nbsp;82.79 to 88.79 points&lt;/p&gt;&lt;p&gt;&amp;nbsp;&lt;/p&gt;&lt;p&gt;&lt;span style="text-decoration: underline;"&gt;&lt;strong&gt;Bull&lt;/strong&gt;&lt;/span&gt;&lt;/p&gt;&lt;p&gt;&lt;strong&gt;ALL:&lt;/strong&gt; 24 outs 7 rides - &lt;span style="color: #ff0000;"&gt;&lt;em&gt;70.83%&lt;/em&gt;&lt;/span&gt;&lt;/p&gt;&lt;p&gt;&lt;strong&gt;UTB:&lt;/strong&gt; 12 outs 4 rides - &lt;span style="color: #ff0000;"&gt;&lt;em&gt;66.67%&lt;/em&gt;&lt;/span&gt;&lt;/p&gt;&lt;p&gt;&lt;em&gt;&lt;span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</si>
  <si>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125 for 249 - &lt;span style="color: #ff0000;"&gt;&lt;em&gt;50.2%&lt;/em&gt;&lt;/span&gt; - Rider Rating: *.410&lt;/p&gt;&lt;p&gt;&lt;strong&gt;Season:&amp;nbsp;&lt;/strong&gt;Rank&amp;nbsp;&lt;span style="color: #ff0000;"&gt;19&lt;/span&gt; (13 for 45 - &lt;em&gt;28.9%&lt;/em&gt;)&lt;em&gt;&lt;br /&gt;&lt;/em&gt;&lt;/p&gt;&lt;p&gt;&lt;strong&gt;Points:&amp;nbsp;&lt;/strong&gt;295.50 pts &lt;span style="color: #ff0000;"&gt;&lt;em&gt;(-597)&lt;/em&gt;&lt;/span&gt;&lt;/p&gt;&lt;p&gt;&lt;strong&gt;Earnings:&amp;nbsp;&lt;/strong&gt;&lt;span style="color: #008000;"&gt;&lt;em&gt;$98,807.28&lt;/em&gt;&lt;/span&gt;&lt;/p&gt;&lt;p&gt;&lt;strong&gt;Potential&lt;/strong&gt;:&amp;nbsp;84.77 to 90.77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</si>
  <si>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Bull 53.00%</t>
  </si>
  <si>
    <t>&lt;h2&gt;Rider&lt;/h2&gt;&lt;p&gt;&lt;strong&gt;Career:&amp;nbsp;&lt;/strong&gt;Career: 211 for 397 - &lt;span style="color: #ff0000;"&gt;&lt;em&gt;53.15%&lt;/em&gt;&lt;/span&gt; - Rider Rating: *.339&lt;/p&gt;&lt;p&gt;&lt;strong&gt;Season:&amp;nbsp;&lt;/strong&gt;Rank&amp;nbsp;&lt;span style="color: #ff0000;"&gt;31&lt;/span&gt; (35 for 70 - &lt;em&gt;50%&lt;/em&gt;)&lt;em&gt;&lt;br /&gt;&lt;/em&gt;&lt;/p&gt;&lt;p&gt;&lt;strong&gt;Points:&amp;nbsp;&lt;/strong&gt;178.00 pts &lt;span style="color: #ff0000;"&gt;&lt;em&gt;(-714.5)&lt;/em&gt;&lt;/span&gt;&lt;/p&gt;&lt;p&gt;&lt;strong&gt;Earnings:&amp;nbsp;&lt;/strong&gt;&lt;span style="color: #008000;"&gt;&lt;em&gt;$102,574.30&lt;/em&gt;&lt;/span&gt;&lt;/p&gt;&lt;p&gt;&lt;strong&gt;Potential&lt;/strong&gt;:&amp;nbsp;82.98 to 88.98 points&lt;/p&gt;&lt;p&gt;&amp;nbsp;&lt;/p&gt;&lt;p&gt;&lt;span style="text-decoration: underline;"&gt;&lt;strong&gt;Bull&lt;/strong&gt;&lt;/span&gt;&lt;/p&gt;&lt;p&gt;&lt;strong&gt;ALL:&lt;/strong&gt; 27 outs 7 rides - &lt;span style="color: #ff0000;"&gt;&lt;em&gt;74.07%&lt;/em&gt;&lt;/span&gt;&lt;/p&gt;&lt;p&gt;&lt;strong&gt;UTB:&lt;/strong&gt; 13 outs 7 rides - &lt;span style="color: #ff0000;"&gt;&lt;em&gt;46.15%&lt;/em&gt;&lt;/span&gt;&lt;/p&gt;&lt;p&gt;&lt;em&gt;&lt;span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</si>
  <si>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197 for 513 - &lt;span style="color: #ff0000;"&gt;&lt;em&gt;38.4%&lt;/em&gt;&lt;/span&gt; - Rider Rating: *.270&lt;/p&gt;&lt;p&gt;&lt;strong&gt;Season:&amp;nbsp;&lt;/strong&gt;Rank&amp;nbsp;&lt;span style="color: #ff0000;"&gt;6&lt;/span&gt; (33 for 65 - &lt;em&gt;50.8%&lt;/em&gt;)&lt;em&gt;&lt;br /&gt;&lt;/em&gt;&lt;/p&gt;&lt;p&gt;&lt;strong&gt;Points:&amp;nbsp;&lt;/strong&gt;502.50 pts &lt;span style="color: #ff0000;"&gt;&lt;em&gt;(-390)&lt;/em&gt;&lt;/span&gt;&lt;/p&gt;&lt;p&gt;&lt;strong&gt;Earnings:&amp;nbsp;&lt;/strong&gt;&lt;span style="color: #008000;"&gt;&lt;em&gt;$162,721.28&lt;/em&gt;&lt;/span&gt;&lt;/p&gt;&lt;p&gt;&lt;strong&gt;Potential&lt;/strong&gt;:&amp;nbsp;83.67 to 89.67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</si>
  <si>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Rider 75.00%</t>
  </si>
  <si>
    <t>&lt;h2&gt;Rider&lt;/h2&gt;&lt;p&gt;&lt;strong&gt;Career:&amp;nbsp;&lt;/strong&gt;Career: 25 for 78 - &lt;span style="color: #ff0000;"&gt;&lt;em&gt;32.05%&lt;/em&gt;&lt;/span&gt; - Rider Rating: .156&lt;/p&gt;&lt;p&gt;&lt;strong&gt;Season:&amp;nbsp;&lt;/strong&gt;Rank&amp;nbsp;&lt;span style="color: #ff0000;"&gt;60&lt;/span&gt; (1 for 11 - &lt;em&gt;9.1%&lt;/em&gt;)&lt;em&gt;&lt;br /&gt;&lt;/em&gt;&lt;/p&gt;&lt;p&gt;&lt;strong&gt;Points:&amp;nbsp;&lt;/strong&gt;8.00 pts &lt;span style="color: #ff0000;"&gt;&lt;em&gt;(-884.5)&lt;/em&gt;&lt;/span&gt;&lt;/p&gt;&lt;p&gt;&lt;strong&gt;Earnings:&amp;nbsp;&lt;/strong&gt;&lt;span style="color: #008000;"&gt;&lt;em&gt;$9,446.45&lt;/em&gt;&lt;/span&gt;&lt;/p&gt;&lt;p&gt;&lt;strong&gt;Potential&lt;/strong&gt;:&amp;nbsp;83.32 to 89.32 points&lt;/p&gt;&lt;p&gt;&amp;nbsp;&lt;/p&gt;&lt;p&gt;&lt;span style="text-decoration: underline;"&gt;&lt;strong&gt;Bull&lt;/strong&gt;&lt;/span&gt;&lt;/p&gt;&lt;p&gt;&lt;strong&gt;ALL:&lt;/strong&gt; 10 outs 6 rides - &lt;span style="color: #ff0000;"&gt;&lt;em&gt;40%&lt;/em&gt;&lt;/span&gt;&lt;/p&gt;&lt;p&gt;&lt;strong&gt;UTB:&lt;/strong&gt; 9 outs 6 rides - &lt;span style="color: #ff0000;"&gt;&lt;em&gt;33.33%&lt;/em&gt;&lt;/span&gt;&lt;/p&gt;&lt;p&gt;&lt;em&gt;&lt;span style="color: #ff0000;"&gt;*No Previous Matchups&lt;/span&gt;&lt;/em&gt;&lt;/p&gt;&lt;p&gt;&amp;nbsp;&lt;/p&gt;</t>
  </si>
  <si>
    <t>Rider 8.00%</t>
  </si>
  <si>
    <t>&lt;h2&gt;Rider&lt;/h2&gt;&lt;p&gt;&lt;strong&gt;Career:&amp;nbsp;&lt;/strong&gt;Career: 183 for 462 - &lt;span style="color: #ff0000;"&gt;&lt;em&gt;39.61%&lt;/em&gt;&lt;/span&gt; - Rider Rating: *.283&lt;/p&gt;&lt;p&gt;&lt;strong&gt;Season:&amp;nbsp;&lt;/strong&gt;Rank&amp;nbsp;&lt;span style="color: #ff0000;"&gt;13&lt;/span&gt; (34 for 62 - &lt;em&gt;54.8%&lt;/em&gt;)&lt;em&gt;&lt;br /&gt;&lt;/em&gt;&lt;/p&gt;&lt;p&gt;&lt;strong&gt;Points:&amp;nbsp;&lt;/strong&gt;396.00 pts &lt;span style="color: #ff0000;"&gt;&lt;em&gt;(-496.5)&lt;/em&gt;&lt;/span&gt;&lt;/p&gt;&lt;p&gt;&lt;strong&gt;Earnings:&amp;nbsp;&lt;/strong&gt;&lt;span style="color: #008000;"&gt;&lt;em&gt;$123,666.07&lt;/em&gt;&lt;/span&gt;&lt;/p&gt;&lt;p&gt;&lt;strong&gt;Potential&lt;/strong&gt;:&amp;nbsp;83.96 to 89.96 points&lt;/p&gt;&lt;p&gt;&amp;nbsp;&lt;/p&gt;&lt;p&gt;&lt;span style="text-decoration: underline;"&gt;&lt;strong&gt;Bull&lt;/strong&gt;&lt;/span&gt;&lt;/p&gt;&lt;p&gt;&lt;strong&gt;ALL:&lt;/strong&gt; 17 outs 7 rides - &lt;span style="color: #ff0000;"&gt;&lt;em&gt;58.82%&lt;/em&gt;&lt;/span&gt;&lt;/p&gt;&lt;p&gt;&lt;strong&gt;UTB:&lt;/strong&gt; 11 outs 7 rides - &lt;span style="color: #ff0000;"&gt;&lt;em&gt;36.36%&lt;/em&gt;&lt;/span&gt;&lt;/p&gt;&lt;p&gt;&lt;em&gt;&lt;span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</si>
  <si>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162 for 417 - &lt;span style="color: #ff0000;"&gt;&lt;em&gt;38.85%&lt;/em&gt;&lt;/span&gt; - Rider Rating: *.273&lt;/p&gt;&lt;p&gt;&lt;strong&gt;Season:&amp;nbsp;&lt;/strong&gt;Rank&amp;nbsp;&lt;span style="color: #ff0000;"&gt;21&lt;/span&gt; (33 for 71 - &lt;em&gt;46.5%&lt;/em&gt;)&lt;em&gt;&lt;br /&gt;&lt;/em&gt;&lt;/p&gt;&lt;p&gt;&lt;strong&gt;Points:&amp;nbsp;&lt;/strong&gt;255.00 pts &lt;span style="color: #ff0000;"&gt;&lt;em&gt;(-637.5)&lt;/em&gt;&lt;/span&gt;&lt;/p&gt;&lt;p&gt;&lt;strong&gt;Earnings:&amp;nbsp;&lt;/strong&gt;&lt;span style="color: #008000;"&gt;&lt;em&gt;$146,643.44&lt;/em&gt;&lt;/span&gt;&lt;/p&gt;&lt;p&gt;&lt;strong&gt;Potential&lt;/strong&gt;:&amp;nbsp;-1 to 5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</si>
  <si>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Bull 20.00%</t>
  </si>
  <si>
    <t>&lt;h2&gt;Rider&lt;/h2&gt;&lt;p&gt;&lt;strong&gt;Career:&amp;nbsp;&lt;/strong&gt;Career: 268 for 553 - &lt;span style="color: #ff0000;"&gt;&lt;em&gt;48.46%&lt;/em&gt;&lt;/span&gt; - Rider Rating: *.408&lt;/p&gt;&lt;p&gt;&lt;strong&gt;Season:&amp;nbsp;&lt;/strong&gt;Rank&amp;nbsp;&lt;span style="color: #ff0000;"&gt;20&lt;/span&gt; (20 for 42 - &lt;em&gt;47.6%&lt;/em&gt;)&lt;em&gt;&lt;br /&gt;&lt;/em&gt;&lt;/p&gt;&lt;p&gt;&lt;strong&gt;Points:&amp;nbsp;&lt;/strong&gt;292.00 pts &lt;span style="color: #ff0000;"&gt;&lt;em&gt;(-600.5)&lt;/em&gt;&lt;/span&gt;&lt;/p&gt;&lt;p&gt;&lt;strong&gt;Earnings:&amp;nbsp;&lt;/strong&gt;&lt;span style="color: #008000;"&gt;&lt;em&gt;$230,842.06&lt;/em&gt;&lt;/span&gt;&lt;/p&gt;&lt;p&gt;&lt;strong&gt;Potential&lt;/strong&gt;:&amp;nbsp;83.71 to 89.71 points&lt;/p&gt;&lt;p&gt;&amp;nbsp;&lt;/p&gt;&lt;p&gt;&lt;span style="text-decoration: underline;"&gt;&lt;strong&gt;Bull&lt;/strong&gt;&lt;/span&gt;&lt;/p&gt;&lt;p&gt;&lt;strong&gt;ALL:&lt;/strong&gt; 29 outs 3 rides - &lt;span style="color: #ff0000;"&gt;&lt;em&gt;89.66%&lt;/em&gt;&lt;/span&gt;&lt;/p&gt;&lt;p&gt;&lt;em&gt;&lt;span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</si>
  <si>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233 for 735 - &lt;span style="color: #ff0000;"&gt;&lt;em&gt;31.7%&lt;/em&gt;&lt;/span&gt; - Rider Rating: *.245&lt;/p&gt;&lt;p&gt;&lt;strong&gt;Season:&amp;nbsp;&lt;/strong&gt;Rank&amp;nbsp;&lt;span style="color: #ff0000;"&gt;25&lt;/span&gt; (19 for 64 - &lt;em&gt;29.7%&lt;/em&gt;)&lt;em&gt;&lt;br /&gt;&lt;/em&gt;&lt;/p&gt;&lt;p&gt;&lt;strong&gt;Points:&amp;nbsp;&lt;/strong&gt;219.00 pts &lt;span style="color: #ff0000;"&gt;&lt;em&gt;(-673.5)&lt;/em&gt;&lt;/span&gt;&lt;/p&gt;&lt;p&gt;&lt;strong&gt;Earnings:&amp;nbsp;&lt;/strong&gt;&lt;span style="color: #008000;"&gt;&lt;em&gt;$154,923.02&lt;/em&gt;&lt;/span&gt;&lt;/p&gt;&lt;p&gt;&lt;strong&gt;Potential&lt;/strong&gt;:&amp;nbsp;86.19 to 92.19 points&lt;/p&gt;&lt;p&gt;&amp;nbsp;&lt;/p&gt;&lt;p&gt;&lt;span style="text-decoration: underline;"&gt;&lt;strong&gt;Bull&lt;/strong&gt;&lt;/span&gt;&lt;/p&gt;&lt;p&gt;&lt;strong&gt;ALL:&lt;/strong&gt; 8 outs 0 rides - &lt;span style="color: #ff0000;"&gt;&lt;em&gt;100%&lt;/em&gt;&lt;/span&gt;&lt;/p&gt;&lt;p&gt;&lt;em&gt;&lt;span style="color: #ff0000;"&gt;*No Previous Matchups&lt;/span&gt;&lt;/em&gt;&lt;/p&gt;&lt;p&gt;&amp;nbsp;&lt;/p&gt;</t>
  </si>
  <si>
    <t>Rider 20.00%</t>
  </si>
  <si>
    <t>&lt;h2&gt;Rider&lt;/h2&gt;&lt;p&gt;&lt;strong&gt;Career:&amp;nbsp;&lt;/strong&gt;Career: 352 for 823 - &lt;span style="color: #ff0000;"&gt;&lt;em&gt;42.77%&lt;/em&gt;&lt;/span&gt; - Rider Rating: *.341&lt;/p&gt;&lt;p&gt;&lt;strong&gt;Season:&amp;nbsp;&lt;/strong&gt;Rank&amp;nbsp;&lt;span style="color: #ff0000;"&gt;16&lt;/span&gt; (19 for 46 - &lt;em&gt;41.3%&lt;/em&gt;)&lt;em&gt;&lt;br /&gt;&lt;/em&gt;&lt;/p&gt;&lt;p&gt;&lt;strong&gt;Points:&amp;nbsp;&lt;/strong&gt;362.50 pts &lt;span style="color: #ff0000;"&gt;&lt;em&gt;(-530)&lt;/em&gt;&lt;/span&gt;&lt;/p&gt;&lt;p&gt;&lt;strong&gt;Earnings:&amp;nbsp;&lt;/strong&gt;&lt;span style="color: #008000;"&gt;&lt;em&gt;$150,772.22&lt;/em&gt;&lt;/span&gt;&lt;/p&gt;&lt;p&gt;&lt;strong&gt;Potential&lt;/strong&gt;:&amp;nbsp;85.25 to 91.25 points&lt;/p&gt;&lt;p&gt;&amp;nbsp;&lt;/p&gt;&lt;p&gt;&lt;span style="text-decoration: underline;"&gt;&lt;strong&gt;Bull&lt;/strong&gt;&lt;/span&gt;&lt;/p&gt;&lt;p&gt;&lt;strong&gt;ALL:&lt;/strong&gt; 74 outs 22 rides - &lt;span style="color: #ff0000;"&gt;&lt;em&gt;70.27%&lt;/em&gt;&lt;/span&gt;&lt;/p&gt;&lt;p&gt;&lt;strong&gt;UTB:&lt;/strong&gt; 32 outs 15 rides - &lt;span style="color: #ff0000;"&gt;&lt;em&gt;53.13%&lt;/em&gt;&lt;/span&gt;&lt;/p&gt;&lt;p&gt;&lt;em&gt;&lt;span style="color: #ff0000;"&gt;*No Previous Matchups&lt;/span&gt;&lt;/em&gt;&lt;/p&gt;&lt;p&gt;&amp;nbsp;&lt;/p&gt;</t>
  </si>
  <si>
    <t>Bull 43.00%</t>
  </si>
  <si>
    <t>&lt;h2&gt;Rider&lt;/h2&gt;&lt;p&gt;&lt;strong&gt;Career:&amp;nbsp;&lt;/strong&gt;Career: 176 for 430 - &lt;span style="color: #ff0000;"&gt;&lt;em&gt;40.93%&lt;/em&gt;&lt;/span&gt; - Rider Rating: *.281&lt;/p&gt;&lt;p&gt;&lt;strong&gt;Season:&amp;nbsp;&lt;/strong&gt;Rank&amp;nbsp;&lt;span style="color: #ff0000;"&gt;24&lt;/span&gt; (38 for 74 - &lt;em&gt;51.4%&lt;/em&gt;)&lt;em&gt;&lt;br /&gt;&lt;/em&gt;&lt;/p&gt;&lt;p&gt;&lt;strong&gt;Points:&amp;nbsp;&lt;/strong&gt;224.00 pts &lt;span style="color: #ff0000;"&gt;&lt;em&gt;(-668.5)&lt;/em&gt;&lt;/span&gt;&lt;/p&gt;&lt;p&gt;&lt;strong&gt;Earnings:&amp;nbsp;&lt;/strong&gt;&lt;span style="color: #008000;"&gt;&lt;em&gt;$173,189.21&lt;/em&gt;&lt;/span&gt;&lt;/p&gt;&lt;p&gt;&lt;strong&gt;Potential&lt;/strong&gt;:&amp;nbsp;83.56 to 89.56 points&lt;/p&gt;&lt;p&gt;&amp;nbsp;&lt;/p&gt;&lt;p&gt;&lt;span style="text-decoration: underline;"&gt;&lt;strong&gt;Bull&lt;/strong&gt;&lt;/span&gt;&lt;/p&gt;&lt;p&gt;&lt;strong&gt;ALL:&lt;/strong&gt; 15 outs 5 rides - &lt;span style="color: #ff0000;"&gt;&lt;em&gt;66.67%&lt;/em&gt;&lt;/span&gt;&lt;/p&gt;&lt;p&gt;&lt;strong&gt;UTB:&lt;/strong&gt; 6 outs 4 rides - &lt;span style="color: #ff0000;"&gt;&lt;em&gt;33.33%&lt;/em&gt;&lt;/span&gt;&lt;/p&gt;&lt;p&gt;&lt;em&gt;&lt;span style="color: #ff0000;"&gt;*No Previous Matchups&lt;/span&gt;&lt;/em&gt;&lt;/p&gt;&lt;p&gt;&amp;nbsp;&lt;/p&gt;</t>
  </si>
  <si>
    <t>Bull 14.00%</t>
  </si>
  <si>
    <t>&lt;h2&gt;Rider&lt;/h2&gt;&lt;p&gt;&lt;strong&gt;Career:&amp;nbsp;&lt;/strong&gt;Career: 599 for 1325 - &lt;span style="color: #ff0000;"&gt;&lt;em&gt;45.21%&lt;/em&gt;&lt;/span&gt; - Rider Rating: *.356&lt;/p&gt;&lt;p&gt;&lt;strong&gt;Season:&amp;nbsp;&lt;/strong&gt;Rank&amp;nbsp;&lt;span style="color: #ff0000;"&gt;37&lt;/span&gt; (18 for 52 - &lt;em&gt;34.6%&lt;/em&gt;)&lt;em&gt;&lt;br /&gt;&lt;/em&gt;&lt;/p&gt;&lt;p&gt;&lt;strong&gt;Points:&amp;nbsp;&lt;/strong&gt;92.50 pts &lt;span style="color: #ff0000;"&gt;&lt;em&gt;(-800)&lt;/em&gt;&lt;/span&gt;&lt;/p&gt;&lt;p&gt;&lt;strong&gt;Earnings:&amp;nbsp;&lt;/strong&gt;&lt;span style="color: #008000;"&gt;&lt;em&gt;$83,389.62&lt;/em&gt;&lt;/span&gt;&lt;/p&gt;&lt;p&gt;&lt;strong&gt;Potential&lt;/strong&gt;:&amp;nbsp;84.24 to 90.24 points&lt;/p&gt;&lt;p&gt;&amp;nbsp;&lt;/p&gt;&lt;p&gt;&lt;span style="text-decoration: underline;"&gt;&lt;strong&gt;Bull&lt;/strong&gt;&lt;/span&gt;&lt;/p&gt;&lt;p&gt;&lt;strong&gt;ALL:&lt;/strong&gt; 10 outs 1 rides - &lt;span style="color: #ff0000;"&gt;&lt;em&gt;90%&lt;/em&gt;&lt;/span&gt;&lt;/p&gt;&lt;p&gt;&lt;em&gt;&lt;span style="color: #ff0000;"&gt;*No Previous Matchups&lt;/span&gt;&lt;/em&gt;&lt;/p&gt;&lt;p&gt;&amp;nbsp;&lt;/p&gt;</t>
  </si>
  <si>
    <t>Rider 21.00%</t>
  </si>
  <si>
    <t>&lt;h2&gt;Rider&lt;/h2&gt;&lt;p&gt;&lt;strong&gt;Career:&amp;nbsp;&lt;/strong&gt;Career: 51 for 222 - &lt;span style="color: #ff0000;"&gt;&lt;em&gt;22.97%&lt;/em&gt;&lt;/span&gt; - Rider Rating: .119&lt;/p&gt;&lt;p&gt;&lt;strong&gt;Season:&amp;nbsp;&lt;/strong&gt;Rank&amp;nbsp;&lt;span style="color: #ff0000;"&gt;40&lt;/span&gt; (4 for 30 - &lt;em&gt;13.3%&lt;/em&gt;)&lt;em&gt;&lt;br /&gt;&lt;/em&gt;&lt;/p&gt;&lt;p&gt;&lt;strong&gt;Points:&amp;nbsp;&lt;/strong&gt;78.00 pts &lt;span style="color: #ff0000;"&gt;&lt;em&gt;(-814.5)&lt;/em&gt;&lt;/span&gt;&lt;/p&gt;&lt;p&gt;&lt;strong&gt;Earnings:&amp;nbsp;&lt;/strong&gt;&lt;span style="color: #008000;"&gt;&lt;em&gt;$11,800.00&lt;/em&gt;&lt;/span&gt;&lt;/p&gt;&lt;p&gt;&lt;strong&gt;Potential&lt;/strong&gt;:&amp;nbsp;84.22 to 90.22 points&lt;/p&gt;&lt;p&gt;&amp;nbsp;&lt;/p&gt;&lt;p&gt;&lt;span style="text-decoration: underline;"&gt;&lt;strong&gt;Bull&lt;/strong&gt;&lt;/span&gt;&lt;/p&gt;&lt;p&gt;&lt;strong&gt;ALL:&lt;/strong&gt; 23 outs 4 rides - &lt;span style="color: #ff0000;"&gt;&lt;em&gt;82.61%&lt;/em&gt;&lt;/span&gt;&lt;/p&gt;&lt;p&gt;&lt;strong&gt;UTB:&lt;/strong&gt; 7 outs 2 rides - &lt;span style="color: #ff0000;"&gt;&lt;em&gt;71.43%&lt;/em&gt;&lt;/span&gt;&lt;/p&gt;&lt;p&gt;&lt;em&gt;&lt;span style="color: #ff0000;"&gt;*No Previous Matchups&lt;/span&gt;&lt;/em&gt;&lt;/p&gt;&lt;p&gt;&amp;nbsp;&lt;/p&gt;</t>
  </si>
  <si>
    <t>Bull 40.00%</t>
  </si>
  <si>
    <t>&lt;h2&gt;Rider&lt;/h2&gt;&lt;p&gt;&lt;strong&gt;Career:&amp;nbsp;&lt;/strong&gt;Career: 154 for 517 - &lt;span style="color: #ff0000;"&gt;&lt;em&gt;29.79%&lt;/em&gt;&lt;/span&gt; - Rider Rating: *.248&lt;/p&gt;&lt;p&gt;&lt;strong&gt;Season:&amp;nbsp;&lt;/strong&gt;Rank&amp;nbsp;&lt;span style="color: #ff0000;"&gt;38&lt;/span&gt; (21 for 72 - &lt;em&gt;29.2%&lt;/em&gt;)&lt;em&gt;&lt;br /&gt;&lt;/em&gt;&lt;/p&gt;&lt;p&gt;&lt;strong&gt;Points:&amp;nbsp;&lt;/strong&gt;86.00 pts &lt;span style="color: #ff0000;"&gt;&lt;em&gt;(-806.5)&lt;/em&gt;&lt;/span&gt;&lt;/p&gt;&lt;p&gt;&lt;strong&gt;Earnings:&amp;nbsp;&lt;/strong&gt;&lt;span style="color: #008000;"&gt;&lt;em&gt;$86,037.98&lt;/em&gt;&lt;/span&gt;&lt;/p&gt;&lt;p&gt;&lt;strong&gt;Potential&lt;/strong&gt;:&amp;nbsp;85.28 to 91.28 points&lt;/p&gt;&lt;p&gt;&amp;nbsp;&lt;/p&gt;&lt;p&gt;&lt;span style="text-decoration: underline;"&gt;&lt;strong&gt;Bull&lt;/strong&gt;&lt;/span&gt;&lt;/p&gt;&lt;p&gt;&lt;strong&gt;ALL:&lt;/strong&gt; 33 outs 8 rides - &lt;span style="color: #ff0000;"&gt;&lt;em&gt;75.76%&lt;/em&gt;&lt;/span&gt;&lt;/p&gt;&lt;p&gt;&lt;strong&gt;UTB:&lt;/strong&gt; 11 outs 4 rides - &lt;span style="color: #ff0000;"&gt;&lt;em&gt;63.64%&lt;/em&gt;&lt;/span&gt;&lt;/p&gt;&lt;p&gt;&lt;em&gt;&lt;span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</si>
  <si>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353 for 770 - &lt;span style="color: #ff0000;"&gt;&lt;em&gt;45.84%&lt;/em&gt;&lt;/span&gt; - Rider Rating: *.341&lt;/p&gt;&lt;p&gt;&lt;strong&gt;Season:&amp;nbsp;&lt;/strong&gt;Rank&amp;nbsp;&lt;span style="color: #ff0000;"&gt;18&lt;/span&gt; (36 for 74 - &lt;em&gt;48.6%&lt;/em&gt;)&lt;em&gt;&lt;br /&gt;&lt;/em&gt;&lt;/p&gt;&lt;p&gt;&lt;strong&gt;Points:&amp;nbsp;&lt;/strong&gt;304.00 pts &lt;span style="color: #ff0000;"&gt;&lt;em&gt;(-588.5)&lt;/em&gt;&lt;/span&gt;&lt;/p&gt;&lt;p&gt;&lt;strong&gt;Earnings:&amp;nbsp;&lt;/strong&gt;&lt;span style="color: #008000;"&gt;&lt;em&gt;$151,952.86&lt;/em&gt;&lt;/span&gt;&lt;/p&gt;&lt;p&gt;&lt;strong&gt;Potential&lt;/strong&gt;:&amp;nbsp;87.4 to 93.4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</si>
  <si>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Bull 13.00%</t>
  </si>
  <si>
    <t>&lt;h2&gt;Rider&lt;/h2&gt;&lt;p&gt;&lt;strong&gt;Career:&amp;nbsp;&lt;/strong&gt;Career: 45 for 158 - &lt;span style="color: #ff0000;"&gt;&lt;em&gt;28.48%&lt;/em&gt;&lt;/span&gt; - Rider Rating: .160&lt;/p&gt;&lt;p&gt;&lt;strong&gt;Season:&amp;nbsp;&lt;/strong&gt;Rank&amp;nbsp;&lt;span style="color: #ff0000;"&gt;43&lt;/span&gt; (4 for 12 - &lt;em&gt;33.3%&lt;/em&gt;)&lt;em&gt;&lt;br /&gt;&lt;/em&gt;&lt;/p&gt;&lt;p&gt;&lt;strong&gt;Points:&amp;nbsp;&lt;/strong&gt;49.50 pts &lt;span style="color: #ff0000;"&gt;&lt;em&gt;(-843)&lt;/em&gt;&lt;/span&gt;&lt;/p&gt;&lt;p&gt;&lt;strong&gt;Earnings:&amp;nbsp;&lt;/strong&gt;&lt;span style="color: #008000;"&gt;&lt;em&gt;$4,025.00&lt;/em&gt;&lt;/span&gt;&lt;/p&gt;&lt;p&gt;&lt;strong&gt;Potential&lt;/strong&gt;:&amp;nbsp;83.27 to 89.27 points&lt;/p&gt;&lt;p&gt;&amp;nbsp;&lt;/p&gt;&lt;p&gt;&lt;span style="text-decoration: underline;"&gt;&lt;strong&gt;Bull&lt;/strong&gt;&lt;/span&gt;&lt;/p&gt;&lt;p&gt;&lt;strong&gt;ALL:&lt;/strong&gt; 27 outs 1 rides - &lt;span style="color: #ff0000;"&gt;&lt;em&gt;96.3%&lt;/em&gt;&lt;/span&gt;&lt;/p&gt;&lt;p&gt;&lt;em&gt;&lt;span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</si>
  <si>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228 for 379 - &lt;span style="color: #ff0000;"&gt;&lt;em&gt;60.16%&lt;/em&gt;&lt;/span&gt; - Rider Rating: *.428&lt;/p&gt;&lt;p&gt;&lt;strong&gt;Season:&amp;nbsp;&lt;/strong&gt;Rank&amp;nbsp;&lt;span style="color: #ff0000;"&gt;1&lt;/span&gt; (54 for 82 - &lt;em&gt;65.9%&lt;/em&gt;)&lt;em&gt;&lt;br /&gt;&lt;/em&gt;&lt;/p&gt;&lt;p&gt;&lt;strong&gt;Points:&amp;nbsp;&lt;/strong&gt;892.50 pts &lt;span style="color: #ff0000;"&gt;&lt;em&gt;(-0)&lt;/em&gt;&lt;/span&gt;&lt;/p&gt;&lt;p&gt;&lt;strong&gt;Earnings:&amp;nbsp;&lt;/strong&gt;&lt;span style="color: #008000;"&gt;&lt;em&gt;$452,429.21&lt;/em&gt;&lt;/span&gt;&lt;/p&gt;&lt;p&gt;&lt;strong&gt;Potential&lt;/strong&gt;:&amp;nbsp;86.08 to 92.08 points&lt;/p&gt;&lt;p&gt;&amp;nbsp;&lt;/p&gt;&lt;p&gt;&lt;span style="text-decoration: underline;"&gt;&lt;strong&gt;Bull&lt;/strong&gt;&lt;/span&gt;&lt;/p&gt;&lt;p&gt;&lt;strong&gt;ALL:&lt;/strong&gt; 12 outs 1 rides - &lt;span style="color: #ff0000;"&gt;&lt;em&gt;91.67%&lt;/em&gt;&lt;/span&gt;&lt;/p&gt;&lt;p&gt;&lt;em&gt;&lt;span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</si>
  <si>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242 for 475 - &lt;span style="color: #ff0000;"&gt;&lt;em&gt;50.95%&lt;/em&gt;&lt;/span&gt; - Rider Rating: *.369&lt;/p&gt;&lt;p&gt;&lt;strong&gt;Season:&amp;nbsp;&lt;/strong&gt;Rank&amp;nbsp;&lt;span style="color: #ff0000;"&gt;2&lt;/span&gt; (52 for 85 - &lt;em&gt;61.2%&lt;/em&gt;)&lt;em&gt;&lt;br /&gt;&lt;/em&gt;&lt;/p&gt;&lt;p&gt;&lt;strong&gt;Points:&amp;nbsp;&lt;/strong&gt;717.00 pts &lt;span style="color: #ff0000;"&gt;&lt;em&gt;(-175.5)&lt;/em&gt;&lt;/span&gt;&lt;/p&gt;&lt;p&gt;&lt;strong&gt;Earnings:&amp;nbsp;&lt;/strong&gt;&lt;span style="color: #008000;"&gt;&lt;em&gt;$412,126.95&lt;/em&gt;&lt;/span&gt;&lt;/p&gt;&lt;p&gt;&lt;strong&gt;Potential&lt;/strong&gt;:&amp;nbsp;82.25 to 88.25 points&lt;/p&gt;&lt;p&gt;&amp;nbsp;&lt;/p&gt;&lt;p&gt;&lt;span style="text-decoration: underline;"&gt;&lt;strong&gt;Bull&lt;/strong&gt;&lt;/span&gt;&lt;/p&gt;&lt;p&gt;&lt;strong&gt;ALL:&lt;/strong&gt; 13 outs 0 rides - &lt;span style="color: #ff0000;"&gt;&lt;em&gt;100%&lt;/em&gt;&lt;/span&gt;&lt;/p&gt;&lt;p&gt;&lt;em&gt;&lt;span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</si>
  <si>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363 for 944 - &lt;span style="color: #ff0000;"&gt;&lt;em&gt;38.45%&lt;/em&gt;&lt;/span&gt; - Rider Rating: *.293&lt;/p&gt;&lt;p&gt;&lt;strong&gt;Season:&amp;nbsp;&lt;/strong&gt;Rank&amp;nbsp;&lt;span style="color: #ff0000;"&gt;9&lt;/span&gt; (34 for 71 - &lt;em&gt;47.9%&lt;/em&gt;)&lt;em&gt;&lt;br /&gt;&lt;/em&gt;&lt;/p&gt;&lt;p&gt;&lt;strong&gt;Points:&amp;nbsp;&lt;/strong&gt;405.00 pts &lt;span style="color: #ff0000;"&gt;&lt;em&gt;(-487.5)&lt;/em&gt;&lt;/span&gt;&lt;/p&gt;&lt;p&gt;&lt;strong&gt;Earnings:&amp;nbsp;&lt;/strong&gt;&lt;span style="color: #008000;"&gt;&lt;em&gt;$159,855.64&lt;/em&gt;&lt;/span&gt;&lt;/p&gt;&lt;p&gt;&lt;strong&gt;Potential&lt;/strong&gt;:&amp;nbsp;83.68 to 89.68 points&lt;/p&gt;&lt;p&gt;&amp;nbsp;&lt;/p&gt;&lt;p&gt;&lt;span style="text-decoration: underline;"&gt;&lt;strong&gt;Bull&lt;/strong&gt;&lt;/span&gt;&lt;/p&gt;&lt;p&gt;&lt;strong&gt;ALL:&lt;/strong&gt; 27 outs 12 rides - &lt;span style="color: #ff0000;"&gt;&lt;em&gt;55.56%&lt;/em&gt;&lt;/span&gt;&lt;/p&gt;&lt;p&gt;&lt;strong&gt;UTB:&lt;/strong&gt; 13 outs 7 rides - &lt;span style="color: #ff0000;"&gt;&lt;em&gt;46.15%&lt;/em&gt;&lt;/span&gt;&lt;/p&gt;&lt;p&gt;&lt;em&gt;&lt;span style="color: #ff0000;"&gt;*No Previous Matchups&lt;/span&gt;&lt;/em&gt;&lt;/p&gt;&lt;p&gt;&amp;nbsp;&lt;/p&gt;</t>
  </si>
  <si>
    <t>Rider 1.00%</t>
  </si>
  <si>
    <t>&lt;h2&gt;Rider&lt;/h2&gt;&lt;p&gt;&lt;strong&gt;Career:&amp;nbsp;&lt;/strong&gt;Career: 140 for 260 - &lt;span style="color: #ff0000;"&gt;&lt;em&gt;53.85%&lt;/em&gt;&lt;/span&gt; - Rider Rating: *.368&lt;/p&gt;&lt;p&gt;&lt;strong&gt;Season:&amp;nbsp;&lt;/strong&gt;Rank&amp;nbsp;&lt;span style="color: #ff0000;"&gt;22&lt;/span&gt; (15 for 31 - &lt;em&gt;48.4%&lt;/em&gt;)&lt;em&gt;&lt;br /&gt;&lt;/em&gt;&lt;/p&gt;&lt;p&gt;&lt;strong&gt;Points:&amp;nbsp;&lt;/strong&gt;247.00 pts &lt;span style="color: #ff0000;"&gt;&lt;em&gt;(-645.5)&lt;/em&gt;&lt;/span&gt;&lt;/p&gt;&lt;p&gt;&lt;strong&gt;Earnings:&amp;nbsp;&lt;/strong&gt;&lt;span style="color: #008000;"&gt;&lt;em&gt;$73,908.24&lt;/em&gt;&lt;/span&gt;&lt;/p&gt;&lt;p&gt;&lt;strong&gt;Potential&lt;/strong&gt;:&amp;nbsp;83.47 to 89.47 points&lt;/p&gt;&lt;p&gt;&amp;nbsp;&lt;/p&gt;&lt;p&gt;&lt;span style="text-decoration: underline;"&gt;&lt;strong&gt;Bull&lt;/strong&gt;&lt;/span&gt;&lt;/p&gt;&lt;p&gt;&lt;strong&gt;ALL:&lt;/strong&gt; 30 outs 4 rides - &lt;span style="color: #ff0000;"&gt;&lt;em&gt;86.67%&lt;/em&gt;&lt;/span&gt;&lt;/p&gt;&lt;p&gt;&lt;strong&gt;UTB:&lt;/strong&gt; 21 outs 3 rides - &lt;span style="color: #ff0000;"&gt;&lt;em&gt;85.71%&lt;/em&gt;&lt;/span&gt;&lt;/p&gt;&lt;p&gt;&lt;em&gt;&lt;span style="color: #ff0000;"&gt;*No Previous Matchups&lt;/span&gt;&lt;/em&gt;&lt;/p&gt;&lt;p&gt;&amp;nbsp;&lt;/p&gt;</t>
  </si>
  <si>
    <t>Bull 60.00%</t>
  </si>
  <si>
    <t>&lt;h2&gt;Rider&lt;/h2&gt;&lt;p&gt;&lt;strong&gt;Career:&amp;nbsp;&lt;/strong&gt;Career: 154 for 416 - &lt;span style="color: #ff0000;"&gt;&lt;em&gt;37.02%&lt;/em&gt;&lt;/span&gt; - Rider Rating: *.266&lt;/p&gt;&lt;p&gt;&lt;strong&gt;Season:&amp;nbsp;&lt;/strong&gt;Rank&amp;nbsp;&lt;span style="color: #ff0000;"&gt;23&lt;/span&gt; (35 for 80 - &lt;em&gt;43.8%&lt;/em&gt;)&lt;em&gt;&lt;br /&gt;&lt;/em&gt;&lt;/p&gt;&lt;p&gt;&lt;strong&gt;Points:&amp;nbsp;&lt;/strong&gt;246.50 pts &lt;span style="color: #ff0000;"&gt;&lt;em&gt;(-646)&lt;/em&gt;&lt;/span&gt;&lt;/p&gt;&lt;p&gt;&lt;strong&gt;Earnings:&amp;nbsp;&lt;/strong&gt;&lt;span style="color: #008000;"&gt;&lt;em&gt;$123,896.04&lt;/em&gt;&lt;/span&gt;&lt;/p&gt;&lt;p&gt;&lt;strong&gt;Potential&lt;/strong&gt;:&amp;nbsp;85.69 to 91.69 points&lt;/p&gt;&lt;p&gt;&amp;nbsp;&lt;/p&gt;&lt;p&gt;&lt;span style="text-decoration: underline;"&gt;&lt;strong&gt;Bull&lt;/strong&gt;&lt;/span&gt;&lt;/p&gt;&lt;p&gt;&lt;strong&gt;ALL:&lt;/strong&gt; 10 outs 3 rides - &lt;span style="color: #ff0000;"&gt;&lt;em&gt;70%&lt;/em&gt;&lt;/span&gt;&lt;/p&gt;&lt;p&gt;&lt;em&gt;&lt;span style="color: #ff0000;"&gt;*No Previous Matchups&lt;/span&gt;&lt;/em&gt;&lt;/p&gt;&lt;p&gt;&amp;nbsp;&lt;/p&gt;</t>
  </si>
  <si>
    <t>Bull 73.00%</t>
  </si>
  <si>
    <t>&lt;h2&gt;Rider&lt;/h2&gt;&lt;p&gt;&lt;strong&gt;Career:&amp;nbsp;&lt;/strong&gt;Career: 335 for 867 - &lt;span style="color: #ff0000;"&gt;&lt;em&gt;38.64%&lt;/em&gt;&lt;/span&gt; - Rider Rating: *.274&lt;/p&gt;&lt;p&gt;&lt;strong&gt;Season:&amp;nbsp;&lt;/strong&gt;Rank&amp;nbsp;&lt;span style="color: #ff0000;"&gt;9&lt;/span&gt; (35 for 69 - &lt;em&gt;50.7%&lt;/em&gt;)&lt;em&gt;&lt;br /&gt;&lt;/em&gt;&lt;/p&gt;&lt;p&gt;&lt;strong&gt;Points:&amp;nbsp;&lt;/strong&gt;405.00 pts &lt;span style="color: #ff0000;"&gt;&lt;em&gt;(-487.5)&lt;/em&gt;&lt;/span&gt;&lt;/p&gt;&lt;p&gt;&lt;strong&gt;Earnings:&amp;nbsp;&lt;/strong&gt;&lt;span style="color: #008000;"&gt;&lt;em&gt;$166,975.45&lt;/em&gt;&lt;/span&gt;&lt;/p&gt;&lt;p&gt;&lt;strong&gt;Potential&lt;/strong&gt;:&amp;nbsp;83.75 to 89.75 points&lt;/p&gt;&lt;p&gt;&amp;nbsp;&lt;/p&gt;&lt;p&gt;&lt;span style="text-decoration: underline;"&gt;&lt;strong&gt;Bull&lt;/strong&gt;&lt;/span&gt;&lt;/p&gt;&lt;p&gt;&lt;strong&gt;ALL:&lt;/strong&gt; 17 outs 10 rides - &lt;span style="color: #ff0000;"&gt;&lt;em&gt;41.18%&lt;/em&gt;&lt;/span&gt;&lt;/p&gt;&lt;p&gt;&lt;strong&gt;UTB:&lt;/strong&gt; 11 outs 8 rides - &lt;span style="color: #ff0000;"&gt;&lt;em&gt;27.27%&lt;/em&gt;&lt;/span&gt;&lt;/p&gt;&lt;p&gt;&lt;em&gt;&lt;span style="color: #ff0000;"&gt;*No Previous Matchups&lt;/span&gt;&lt;/em&gt;&lt;/p&gt;&lt;p&gt;&amp;nbsp;&lt;/p&gt;</t>
  </si>
  <si>
    <t>Bull 36.00%</t>
  </si>
  <si>
    <t>&lt;h2&gt;Rider&lt;/h2&gt;&lt;p&gt;&lt;strong&gt;Career:&amp;nbsp;&lt;/strong&gt;Career: 232 for 601 - &lt;span style="color: #ff0000;"&gt;&lt;em&gt;38.6%&lt;/em&gt;&lt;/span&gt; - Rider Rating: *.304&lt;/p&gt;&lt;p&gt;&lt;strong&gt;Season:&amp;nbsp;&lt;/strong&gt;Rank&amp;nbsp;&lt;span style="color: #ff0000;"&gt;32&lt;/span&gt; (19 for 51 - &lt;em&gt;37.3%&lt;/em&gt;)&lt;em&gt;&lt;br /&gt;&lt;/em&gt;&lt;/p&gt;&lt;p&gt;&lt;strong&gt;Points:&amp;nbsp;&lt;/strong&gt;150.00 pts &lt;span style="color: #ff0000;"&gt;&lt;em&gt;(-742.5)&lt;/em&gt;&lt;/span&gt;&lt;/p&gt;&lt;p&gt;&lt;strong&gt;Earnings:&amp;nbsp;&lt;/strong&gt;&lt;span style="color: #008000;"&gt;&lt;em&gt;$77,559.34&lt;/em&gt;&lt;/span&gt;&lt;/p&gt;&lt;p&gt;&lt;strong&gt;Potential&lt;/strong&gt;:&amp;nbsp;83.6 to 89.6 points&lt;/p&gt;&lt;p&gt;&amp;nbsp;&lt;/p&gt;&lt;p&gt;&lt;span style="text-decoration: underline;"&gt;&lt;strong&gt;Bull&lt;/strong&gt;&lt;/span&gt;&lt;/p&gt;&lt;p&gt;&lt;strong&gt;ALL:&lt;/strong&gt; 13 outs 4 rides - &lt;span style="color: #ff0000;"&gt;&lt;em&gt;69.23%&lt;/em&gt;&lt;/span&gt;&lt;/p&gt;&lt;p&gt;&lt;strong&gt;UTB:&lt;/strong&gt; 9 outs 3 rides - &lt;span style="color: #ff0000;"&gt;&lt;em&gt;66.67%&lt;/em&gt;&lt;/span&gt;&lt;/p&gt;&lt;p&gt;&lt;em&gt;&lt;span style="color: #ff0000;"&gt;*No Previous Matchups&lt;/span&gt;&lt;/em&gt;&lt;/p&gt;&lt;p&gt;&amp;nbsp;&lt;/p&gt;</t>
  </si>
  <si>
    <t>Rider 38.00%</t>
  </si>
  <si>
    <t>&lt;h2&gt;Rider&lt;/h2&gt;&lt;p&gt;&lt;strong&gt;Career:&amp;nbsp;&lt;/strong&gt;Career: 142 for 334 - &lt;span style="color: #ff0000;"&gt;&lt;em&gt;42.51%&lt;/em&gt;&lt;/span&gt; - Rider Rating: *.316&lt;/p&gt;&lt;p&gt;&lt;strong&gt;Season:&amp;nbsp;&lt;/strong&gt;Rank&amp;nbsp;&lt;span style="color: #ff0000;"&gt;7&lt;/span&gt; (42 for 84 - &lt;em&gt;50%&lt;/em&gt;)&lt;em&gt;&lt;br /&gt;&lt;/em&gt;&lt;/p&gt;&lt;p&gt;&lt;strong&gt;Points:&amp;nbsp;&lt;/strong&gt;497.00 pts &lt;span style="color: #ff0000;"&gt;&lt;em&gt;(-395.5)&lt;/em&gt;&lt;/span&gt;&lt;/p&gt;&lt;p&gt;&lt;strong&gt;Earnings:&amp;nbsp;&lt;/strong&gt;&lt;span style="color: #008000;"&gt;&lt;em&gt;$235,394.68&lt;/em&gt;&lt;/span&gt;&lt;/p&gt;&lt;p&gt;&lt;strong&gt;Potential&lt;/strong&gt;:&amp;nbsp;82.61 to 88.61 points&lt;/p&gt;&lt;p&gt;&amp;nbsp;&lt;/p&gt;&lt;p&gt;&lt;span style="text-decoration: underline;"&gt;&lt;strong&gt;Bull&lt;/strong&gt;&lt;/span&gt;&lt;/p&gt;&lt;p&gt;&lt;strong&gt;ALL:&lt;/strong&gt; 14 outs 9 rides - &lt;span style="color: #ff0000;"&gt;&lt;em&gt;35.71%&lt;/em&gt;&lt;/span&gt;&lt;/p&gt;&lt;p&gt;&lt;strong&gt;UTB:&lt;/strong&gt; 11 outs 9 rides - &lt;span style="color: #ff0000;"&gt;&lt;em&gt;18.18%&lt;/em&gt;&lt;/span&gt;&lt;/p&gt;&lt;p&gt;&lt;em&gt;&lt;span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</si>
  <si>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29 for 72 - &lt;span style="color: #ff0000;"&gt;&lt;em&gt;40.28%&lt;/em&gt;&lt;/span&gt; - Rider Rating: .167&lt;/p&gt;&lt;p&gt;&lt;strong&gt;Season:&amp;nbsp;&lt;/strong&gt;Rank&amp;nbsp;&lt;span style="color: #ff0000;"&gt;67&lt;/span&gt; (0 for 2 - &lt;em&gt;0%&lt;/em&gt;)&lt;em&gt;&lt;br /&gt;&lt;/em&gt;&lt;/p&gt;&lt;p&gt;&lt;strong&gt;Points:&amp;nbsp;&lt;/strong&gt;0.00 pts &lt;span style="color: #ff0000;"&gt;&lt;em&gt;(-892.5)&lt;/em&gt;&lt;/span&gt;&lt;/p&gt;&lt;p&gt;&lt;strong&gt;Earnings:&amp;nbsp;&lt;/strong&gt;&lt;span style="color: #008000;"&gt;&lt;em&gt;$9,000.00&lt;/em&gt;&lt;/span&gt;&lt;/p&gt;&lt;p&gt;&lt;strong&gt;Potential&lt;/strong&gt;:&amp;nbsp;84.44 to 90.44 points&lt;/p&gt;&lt;p&gt;&amp;nbsp;&lt;/p&gt;&lt;p&gt;&lt;span style="text-decoration: underline;"&gt;&lt;strong&gt;Bull&lt;/strong&gt;&lt;/span&gt;&lt;/p&gt;&lt;p&gt;&lt;strong&gt;ALL:&lt;/strong&gt; 36 outs 14 rides - &lt;span style="color: #ff0000;"&gt;&lt;em&gt;61.11%&lt;/em&gt;&lt;/span&gt;&lt;/p&gt;&lt;p&gt;&lt;strong&gt;UTB:&lt;/strong&gt; 23 outs 7 rides - &lt;span style="color: #ff0000;"&gt;&lt;em&gt;69.57%&lt;/em&gt;&lt;/span&gt;&lt;/p&gt;&lt;p&gt;&lt;em&gt;&lt;span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</si>
  <si>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33 for 82 - &lt;span style="color: #ff0000;"&gt;&lt;em&gt;40.24%&lt;/em&gt;&lt;/span&gt; - Rider Rating: .193&lt;/p&gt;&lt;p&gt;&lt;strong&gt;Season:&amp;nbsp;&lt;/strong&gt;Rank&amp;nbsp;&lt;span style="color: #ff0000;"&gt;67&lt;/span&gt; (4 for 27 - &lt;em&gt;14.8%&lt;/em&gt;)&lt;em&gt;&lt;br /&gt;&lt;/em&gt;&lt;/p&gt;&lt;p&gt;&lt;strong&gt;Points:&amp;nbsp;&lt;/strong&gt;0.00 pts &lt;span style="color: #ff0000;"&gt;&lt;em&gt;(-892.5)&lt;/em&gt;&lt;/span&gt;&lt;/p&gt;&lt;p&gt;&lt;strong&gt;Earnings:&amp;nbsp;&lt;/strong&gt;&lt;span style="color: #008000;"&gt;&lt;em&gt;$68,882.98&lt;/em&gt;&lt;/span&gt;&lt;/p&gt;&lt;p&gt;&lt;strong&gt;Potential&lt;/strong&gt;:&amp;nbsp;81.2 to 87.2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</si>
  <si>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44 for 122 - &lt;span style="color: #ff0000;"&gt;&lt;em&gt;36.07%&lt;/em&gt;&lt;/span&gt; - Rider Rating: *.215&lt;/p&gt;&lt;p&gt;&lt;strong&gt;Season:&amp;nbsp;&lt;/strong&gt;Rank&amp;nbsp;&lt;span style="color: #ff0000;"&gt;67&lt;/span&gt; (1 for 4 - &lt;em&gt;25%&lt;/em&gt;)&lt;em&gt;&lt;br /&gt;&lt;/em&gt;&lt;/p&gt;&lt;p&gt;&lt;strong&gt;Points:&amp;nbsp;&lt;/strong&gt;0.00 pts &lt;span style="color: #ff0000;"&gt;&lt;em&gt;(-892.5)&lt;/em&gt;&lt;/span&gt;&lt;/p&gt;&lt;p&gt;&lt;strong&gt;Earnings:&amp;nbsp;&lt;/strong&gt;&lt;span style="color: #008000;"&gt;&lt;em&gt;$15,572.53&lt;/em&gt;&lt;/span&gt;&lt;/p&gt;&lt;p&gt;&lt;strong&gt;Potential&lt;/strong&gt;:&amp;nbsp;-1 to 5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</si>
  <si>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34 for 99 - &lt;span style="color: #ff0000;"&gt;&lt;em&gt;34.34%&lt;/em&gt;&lt;/span&gt; - Rider Rating: .160&lt;/p&gt;&lt;p&gt;&lt;strong&gt;Season:&amp;nbsp;&lt;/strong&gt;Rank&amp;nbsp;&lt;span style="color: #ff0000;"&gt;66&lt;/span&gt; (1 for 5 - &lt;em&gt;20%&lt;/em&gt;)&lt;em&gt;&lt;br /&gt;&lt;/em&gt;&lt;/p&gt;&lt;p&gt;&lt;strong&gt;Points:&amp;nbsp;&lt;/strong&gt;7.00 pts &lt;span style="color: #ff0000;"&gt;&lt;em&gt;(-885.5)&lt;/em&gt;&lt;/span&gt;&lt;/p&gt;&lt;p&gt;&lt;strong&gt;Earnings:&amp;nbsp;&lt;/strong&gt;&lt;span style="color: #008000;"&gt;&lt;em&gt;$39,101.98&lt;/em&gt;&lt;/span&gt;&lt;/p&gt;&lt;p&gt;&lt;strong&gt;Potential&lt;/strong&gt;:&amp;nbsp;82.53 to 88.53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</si>
  <si>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380 for 760 - &lt;span style="color: #ff0000;"&gt;&lt;em&gt;50%&lt;/em&gt;&lt;/span&gt; - Rider Rating: *.369&lt;/p&gt;&lt;p&gt;&lt;strong&gt;Season:&amp;nbsp;&lt;/strong&gt;Rank&amp;nbsp;&lt;span style="color: #ff0000;"&gt;41&lt;/span&gt; (16 for 37 - &lt;em&gt;43.2%&lt;/em&gt;)&lt;em&gt;&lt;br /&gt;&lt;/em&gt;&lt;/p&gt;&lt;p&gt;&lt;strong&gt;Points:&amp;nbsp;&lt;/strong&gt;74.00 pts &lt;span style="color: #ff0000;"&gt;&lt;em&gt;(-818.5)&lt;/em&gt;&lt;/span&gt;&lt;/p&gt;&lt;p&gt;&lt;strong&gt;Earnings:&amp;nbsp;&lt;/strong&gt;&lt;span style="color: #008000;"&gt;&lt;em&gt;$93,253.57&lt;/em&gt;&lt;/span&gt;&lt;/p&gt;&lt;p&gt;&lt;strong&gt;Potential&lt;/strong&gt;:&amp;nbsp;81.2 to 87.2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</si>
  <si>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Bull 37.00%</t>
  </si>
  <si>
    <t>&lt;h2&gt;Rider&lt;/h2&gt;&lt;p&gt;&lt;strong&gt;Career:&amp;nbsp;&lt;/strong&gt;Career: 235 for 693 - &lt;span style="color: #ff0000;"&gt;&lt;em&gt;33.91%&lt;/em&gt;&lt;/span&gt; - Rider Rating: *.250&lt;/p&gt;&lt;p&gt;&lt;strong&gt;Season:&amp;nbsp;&lt;/strong&gt;Rank&amp;nbsp;&lt;span style="color: #ff0000;"&gt;51&lt;/span&gt; (3 for 28 - &lt;em&gt;10.7%&lt;/em&gt;)&lt;em&gt;&lt;br /&gt;&lt;/em&gt;&lt;/p&gt;&lt;p&gt;&lt;strong&gt;Points:&amp;nbsp;&lt;/strong&gt;16.00 pts &lt;span style="color: #ff0000;"&gt;&lt;em&gt;(-876.5)&lt;/em&gt;&lt;/span&gt;&lt;/p&gt;&lt;p&gt;&lt;strong&gt;Earnings:&amp;nbsp;&lt;/strong&gt;&lt;span style="color: #008000;"&gt;&lt;em&gt;$28,189.34&lt;/em&gt;&lt;/span&gt;&lt;/p&gt;&lt;p&gt;&lt;strong&gt;Potential&lt;/strong&gt;:&amp;nbsp;81.78 to 87.78 points&lt;/p&gt;&lt;p&gt;&amp;nbsp;&lt;/p&gt;&lt;p&gt;&lt;span style="text-decoration: underline;"&gt;&lt;strong&gt;Bull&lt;/strong&gt;&lt;/span&gt;&lt;/p&gt;&lt;p&gt;&lt;strong&gt;ALL:&lt;/strong&gt; 12 outs 5 rides - &lt;span style="color: #ff0000;"&gt;&lt;em&gt;58.33%&lt;/em&gt;&lt;/span&gt;&lt;/p&gt;&lt;p&gt;&lt;strong&gt;UTB:&lt;/strong&gt; 5 outs 2 rides - &lt;span style="color: #ff0000;"&gt;&lt;em&gt;60%&lt;/em&gt;&lt;/span&gt;&lt;/p&gt;&lt;p&gt;&lt;em&gt;&lt;span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</si>
  <si>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75 for 287 - &lt;span style="color: #ff0000;"&gt;&lt;em&gt;26.13%&lt;/em&gt;&lt;/span&gt; - Rider Rating: *.206&lt;/p&gt;&lt;p&gt;&lt;strong&gt;Season:&amp;nbsp;&lt;/strong&gt;Rank&amp;nbsp;&lt;span style="color: #ff0000;"&gt;67&lt;/span&gt; (1 for 6 - &lt;em&gt;16.7%&lt;/em&gt;)&lt;em&gt;&lt;br /&gt;&lt;/em&gt;&lt;/p&gt;&lt;p&gt;&lt;strong&gt;Points:&amp;nbsp;&lt;/strong&gt;0.00 pts &lt;span style="color: #ff0000;"&gt;&lt;em&gt;(-892.5)&lt;/em&gt;&lt;/span&gt;&lt;/p&gt;&lt;p&gt;&lt;strong&gt;Earnings:&amp;nbsp;&lt;/strong&gt;&lt;span style="color: #008000;"&gt;&lt;em&gt;$22,645.05&lt;/em&gt;&lt;/span&gt;&lt;/p&gt;&lt;p&gt;&lt;strong&gt;Potential&lt;/strong&gt;:&amp;nbsp;83.72 to 89.72 points&lt;/p&gt;&lt;p&gt;&amp;nbsp;&lt;/p&gt;&lt;p&gt;&lt;span style="text-decoration: underline;"&gt;&lt;strong&gt;Bull&lt;/strong&gt;&lt;/span&gt;&lt;/p&gt;&lt;p&gt;&lt;strong&gt;ALL:&lt;/strong&gt; 5 outs 1 rides - &lt;span style="color: #ff0000;"&gt;&lt;em&gt;80%&lt;/em&gt;&lt;/span&gt;&lt;/p&gt;&lt;p&gt;&lt;em&gt;&lt;span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</si>
  <si>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23 for 82 - &lt;span style="color: #ff0000;"&gt;&lt;em&gt;28.05%&lt;/em&gt;&lt;/span&gt; - Rider Rating: .166&lt;/p&gt;&lt;p&gt;&lt;strong&gt;Season:&amp;nbsp;&lt;/strong&gt;Rank&amp;nbsp;&lt;span style="color: #ff0000;"&gt;67&lt;/span&gt; (0 for 3 - &lt;em&gt;0%&lt;/em&gt;)&lt;em&gt;&lt;br /&gt;&lt;/em&gt;&lt;/p&gt;&lt;p&gt;&lt;strong&gt;Points:&amp;nbsp;&lt;/strong&gt;0.00 pts &lt;span style="color: #ff0000;"&gt;&lt;em&gt;(-892.5)&lt;/em&gt;&lt;/span&gt;&lt;/p&gt;&lt;p&gt;&lt;strong&gt;Earnings:&amp;nbsp;&lt;/strong&gt;&lt;span style="color: #008000;"&gt;&lt;em&gt;$17,646.45&lt;/em&gt;&lt;/span&gt;&lt;/p&gt;&lt;p&gt;&lt;strong&gt;Potential&lt;/strong&gt;:&amp;nbsp;84.4 to 90.4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</si>
  <si>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Bull 49.00%</t>
  </si>
  <si>
    <t>&lt;h2&gt;Rider&lt;/h2&gt;&lt;p&gt;&lt;strong&gt;Career:&amp;nbsp;&lt;/strong&gt;Career: 184 for 747 - &lt;span style="color: #ff0000;"&gt;&lt;em&gt;24.63%&lt;/em&gt;&lt;/span&gt; - Rider Rating: .167&lt;/p&gt;&lt;p&gt;&lt;strong&gt;Season:&amp;nbsp;&lt;/strong&gt;Rank&amp;nbsp;&lt;span style="color: #ff0000;"&gt;60&lt;/span&gt; (2 for 17 - &lt;em&gt;11.8%&lt;/em&gt;)&lt;em&gt;&lt;br /&gt;&lt;/em&gt;&lt;/p&gt;&lt;p&gt;&lt;strong&gt;Points:&amp;nbsp;&lt;/strong&gt;8.00 pts &lt;span style="color: #ff0000;"&gt;&lt;em&gt;(-884.5)&lt;/em&gt;&lt;/span&gt;&lt;/p&gt;&lt;p&gt;&lt;strong&gt;Earnings:&amp;nbsp;&lt;/strong&gt;&lt;span style="color: #008000;"&gt;&lt;em&gt;$55,628.97&lt;/em&gt;&lt;/span&gt;&lt;/p&gt;&lt;p&gt;&lt;strong&gt;Potential&lt;/strong&gt;:&amp;nbsp;83.01 to 89.01 points&lt;/p&gt;&lt;p&gt;&amp;nbsp;&lt;/p&gt;&lt;p&gt;&lt;span style="text-decoration: underline;"&gt;&lt;strong&gt;Bull&lt;/strong&gt;&lt;/span&gt;&lt;/p&gt;&lt;p&gt;&lt;strong&gt;ALL:&lt;/strong&gt; 31 outs 16 rides - &lt;span style="color: #ff0000;"&gt;&lt;em&gt;48.39%&lt;/em&gt;&lt;/span&gt;&lt;/p&gt;&lt;p&gt;&lt;strong&gt;UTB:&lt;/strong&gt; 27 outs 14 rides - &lt;span style="color: #ff0000;"&gt;&lt;em&gt;48.15%&lt;/em&gt;&lt;/span&gt;&lt;/p&gt;&lt;p&gt;&lt;em&gt;&lt;span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</si>
  <si>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64 for 237 - &lt;span style="color: #ff0000;"&gt;&lt;em&gt;27%&lt;/em&gt;&lt;/span&gt; - Rider Rating: .168&lt;/p&gt;&lt;p&gt;&lt;strong&gt;Season:&amp;nbsp;&lt;/strong&gt;Rank&amp;nbsp;&lt;span style="color: #ff0000;"&gt;36&lt;/span&gt; (6 for 24 - &lt;em&gt;25%&lt;/em&gt;)&lt;em&gt;&lt;br /&gt;&lt;/em&gt;&lt;/p&gt;&lt;p&gt;&lt;strong&gt;Points:&amp;nbsp;&lt;/strong&gt;95.00 pts &lt;span style="color: #ff0000;"&gt;&lt;em&gt;(-797.5)&lt;/em&gt;&lt;/span&gt;&lt;/p&gt;&lt;p&gt;&lt;strong&gt;Earnings:&amp;nbsp;&lt;/strong&gt;&lt;span style="color: #008000;"&gt;&lt;em&gt;$46,556.47&lt;/em&gt;&lt;/span&gt;&lt;/p&gt;&lt;p&gt;&lt;strong&gt;Potential&lt;/strong&gt;:&amp;nbsp;84.34 to 90.34 points&lt;/p&gt;&lt;p&gt;&amp;nbsp;&lt;/p&gt;&lt;p&gt;&lt;span style="text-decoration: underline;"&gt;&lt;strong&gt;Bull&lt;/strong&gt;&lt;/span&gt;&lt;/p&gt;&lt;p&gt;&lt;strong&gt;ALL:&lt;/strong&gt; 5 outs 2 rides - &lt;span style="color: #ff0000;"&gt;&lt;em&gt;60%&lt;/em&gt;&lt;/span&gt;&lt;/p&gt;&lt;p&gt;&lt;em&gt;&lt;span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</si>
  <si>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128 for 442 - &lt;span style="color: #ff0000;"&gt;&lt;em&gt;28.96%&lt;/em&gt;&lt;/span&gt; - Rider Rating: .190&lt;/p&gt;&lt;p&gt;&lt;strong&gt;Season:&amp;nbsp;&lt;/strong&gt;Rank&amp;nbsp;&lt;span style="color: #ff0000;"&gt;27&lt;/span&gt; (21 for 58 - &lt;em&gt;36.2%&lt;/em&gt;)&lt;em&gt;&lt;br /&gt;&lt;/em&gt;&lt;/p&gt;&lt;p&gt;&lt;strong&gt;Points:&amp;nbsp;&lt;/strong&gt;209.00 pts &lt;span style="color: #ff0000;"&gt;&lt;em&gt;(-683.5)&lt;/em&gt;&lt;/span&gt;&lt;/p&gt;&lt;p&gt;&lt;strong&gt;Earnings:&amp;nbsp;&lt;/strong&gt;&lt;span style="color: #008000;"&gt;&lt;em&gt;$103,513.47&lt;/em&gt;&lt;/span&gt;&lt;/p&gt;&lt;p&gt;&lt;strong&gt;Potential&lt;/strong&gt;:&amp;nbsp;85.5 to 91.5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</si>
  <si>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&lt;h2&gt;Rider&lt;/h2&gt;&lt;p&gt;&lt;strong&gt;Career:&amp;nbsp;&lt;/strong&gt;Career: 127 for 330 - &lt;span style="color: #ff0000;"&gt;&lt;em&gt;38.48%&lt;/em&gt;&lt;/span&gt; - Rider Rating: *.269&lt;/p&gt;&lt;p&gt;&lt;strong&gt;Season:&amp;nbsp;&lt;/strong&gt;Rank&amp;nbsp;&lt;span style="color: #ff0000;"&gt;12&lt;/span&gt; (27 for 69 - &lt;em&gt;39.1%&lt;/em&gt;)&lt;em&gt;&lt;br /&gt;&lt;/em&gt;&lt;/p&gt;&lt;p&gt;&lt;strong&gt;Points:&amp;nbsp;&lt;/strong&gt;400.00 pts &lt;span style="color: #ff0000;"&gt;&lt;em&gt;(-492.5)&lt;/em&gt;&lt;/span&gt;&lt;/p&gt;&lt;p&gt;&lt;strong&gt;Earnings:&amp;nbsp;&lt;/strong&gt;&lt;span style="color: #008000;"&gt;&lt;em&gt;$126,110.26&lt;/em&gt;&lt;/span&gt;&lt;/p&gt;&lt;p&gt;&lt;strong&gt;Potential&lt;/strong&gt;:&amp;nbsp;82.77 to 88.77 points&lt;/p&gt;&lt;p&gt;&amp;nbsp;&lt;/p&gt;&lt;p&gt;&lt;span style="text-decoration: underline;"&gt;&lt;strong&gt;Bull&lt;/strong&gt;&lt;/span&gt;&lt;/p&gt;&lt;p&gt;&lt;strong&gt;ALL:&lt;/strong&gt; 9 outs 0 rides - &lt;span style="color: #ff0000;"&gt;&lt;em&gt;100%&lt;/em&gt;&lt;/span&gt;&lt;/p&gt;&lt;p&gt;&lt;em&gt;&lt;span style="color: #ff0000;"&gt;*No Previous Matchups&lt;/span&gt;&lt;/em&gt;&lt;/p&gt;&lt;p&gt;&amp;nbsp;&lt;/p&gt;</t>
  </si>
  <si>
    <t>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</si>
</sst>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Verdana"/>
      <family val="2"/>
    </font>
    <font>
      <sz val="10"/>
      <color rgb="FF000000"/>
      <name val="Helvetica Neue"/>
      <family val="2"/>
    </font>
    <font>
      <sz val="12"/>
      <color rgb="FFF44336"/>
      <name val="Verdana"/>
      <family val="2"/>
    </font>
    <font>
      <sz val="12"/>
      <color theme="1"/>
      <name val="Helvetica"/>
      <family val="2"/>
    </font>
    <font>
      <sz val="12"/>
      <color rgb="FFFFA726"/>
      <name val="Verdana"/>
      <family val="2"/>
    </font>
    <font>
      <b/>
      <sz val="12"/>
      <color rgb="FFF44336"/>
      <name val="Verdana"/>
      <family val="2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u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1" fillId="0" borderId="0" xfId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 applyAlignment="1">
      <alignment wrapText="1"/>
    </xf>
    <xf numFmtId="0" fontId="1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robullstats.com/loggers/matchup.php?bull=52820&amp;guy=Paulo+Eduardo+Rossetto" TargetMode="External"/><Relationship Id="rId18" Type="http://schemas.openxmlformats.org/officeDocument/2006/relationships/hyperlink" Target="https://probullstats.com/loggers/matchup.php?bull=53018&amp;guy=Keyshawn+Whitehorse" TargetMode="External"/><Relationship Id="rId26" Type="http://schemas.openxmlformats.org/officeDocument/2006/relationships/hyperlink" Target="https://probullstats.com/loggers/matchup.php?bull=53319&amp;guy=Thiago+Salgado" TargetMode="External"/><Relationship Id="rId39" Type="http://schemas.openxmlformats.org/officeDocument/2006/relationships/hyperlink" Target="https://probullstats.com/loggers/matchup.php?bull=47126&amp;guy=Manoelito+de+Souza+Junior" TargetMode="External"/><Relationship Id="rId21" Type="http://schemas.openxmlformats.org/officeDocument/2006/relationships/hyperlink" Target="https://probullstats.com/loggers/matchup.php?bull=49727&amp;guy=Alex+Junior+da+Silva" TargetMode="External"/><Relationship Id="rId34" Type="http://schemas.openxmlformats.org/officeDocument/2006/relationships/hyperlink" Target="https://probullstats.com/loggers/matchup.php?bull=52839&amp;guy=Alan+de+Souza" TargetMode="External"/><Relationship Id="rId7" Type="http://schemas.openxmlformats.org/officeDocument/2006/relationships/hyperlink" Target="https://probullstats.com/loggers/matchup.php?bull=53419&amp;guy=Mason+Taylor" TargetMode="External"/><Relationship Id="rId12" Type="http://schemas.openxmlformats.org/officeDocument/2006/relationships/hyperlink" Target="https://probullstats.com/loggers/matchup.php?bull=51896&amp;guy=Eric+Novoa" TargetMode="External"/><Relationship Id="rId17" Type="http://schemas.openxmlformats.org/officeDocument/2006/relationships/hyperlink" Target="https://probullstats.com/loggers/matchup.php?bull=51690&amp;guy=Hudson+Bolton" TargetMode="External"/><Relationship Id="rId25" Type="http://schemas.openxmlformats.org/officeDocument/2006/relationships/hyperlink" Target="https://probullstats.com/loggers/matchup.php?bull=53892&amp;guy=Joao+Ricardo+Vieira" TargetMode="External"/><Relationship Id="rId33" Type="http://schemas.openxmlformats.org/officeDocument/2006/relationships/hyperlink" Target="https://probullstats.com/loggers/matchup.php?bull=56214&amp;guy=Alex+Cerqueira" TargetMode="External"/><Relationship Id="rId38" Type="http://schemas.openxmlformats.org/officeDocument/2006/relationships/hyperlink" Target="https://probullstats.com/loggers/matchup.php?bull=52929&amp;guy=Kase+Hitt" TargetMode="External"/><Relationship Id="rId2" Type="http://schemas.openxmlformats.org/officeDocument/2006/relationships/hyperlink" Target="https://probullstats.com/loggers/matchup.php?bull=56542&amp;guy=Callum+Miller" TargetMode="External"/><Relationship Id="rId16" Type="http://schemas.openxmlformats.org/officeDocument/2006/relationships/hyperlink" Target="https://probullstats.com/loggers/matchup.php?bull=54171&amp;guy=Koltin+Hevalow" TargetMode="External"/><Relationship Id="rId20" Type="http://schemas.openxmlformats.org/officeDocument/2006/relationships/hyperlink" Target="https://probullstats.com/loggers/matchup.php?bull=53535&amp;guy=John+Crimber" TargetMode="External"/><Relationship Id="rId29" Type="http://schemas.openxmlformats.org/officeDocument/2006/relationships/hyperlink" Target="https://probullstats.com/loggers/matchup.php?bull=51949&amp;guy=Jess+Lockwood" TargetMode="External"/><Relationship Id="rId1" Type="http://schemas.openxmlformats.org/officeDocument/2006/relationships/hyperlink" Target="https://probullstats.com/loggers/matchup.php?bull=54839&amp;guy=Julio+Cesar+Marques" TargetMode="External"/><Relationship Id="rId6" Type="http://schemas.openxmlformats.org/officeDocument/2006/relationships/hyperlink" Target="https://probullstats.com/loggers/matchup.php?bull=55806&amp;guy=Ednelio+Rodrigues" TargetMode="External"/><Relationship Id="rId11" Type="http://schemas.openxmlformats.org/officeDocument/2006/relationships/hyperlink" Target="https://probullstats.com/loggers/matchup.php?bull=56236&amp;guy=Macaulie+Leather" TargetMode="External"/><Relationship Id="rId24" Type="http://schemas.openxmlformats.org/officeDocument/2006/relationships/hyperlink" Target="https://probullstats.com/loggers/matchup.php?bull=50380&amp;guy=Andy+Guzman" TargetMode="External"/><Relationship Id="rId32" Type="http://schemas.openxmlformats.org/officeDocument/2006/relationships/hyperlink" Target="https://probullstats.com/loggers/matchup.php?bull=55454&amp;guy=Romario+Leite" TargetMode="External"/><Relationship Id="rId37" Type="http://schemas.openxmlformats.org/officeDocument/2006/relationships/hyperlink" Target="https://probullstats.com/loggers/matchup.php?bull=53773&amp;guy=Bruno+Carvalho" TargetMode="External"/><Relationship Id="rId40" Type="http://schemas.openxmlformats.org/officeDocument/2006/relationships/hyperlink" Target="https://probullstats.com/loggers/matchup.php?bull=51996&amp;guy=Eduardo+Aparecido" TargetMode="External"/><Relationship Id="rId5" Type="http://schemas.openxmlformats.org/officeDocument/2006/relationships/hyperlink" Target="https://probullstats.com/loggers/matchup.php?bull=56381&amp;guy=Vinicius+Rodrigues+Pereira" TargetMode="External"/><Relationship Id="rId15" Type="http://schemas.openxmlformats.org/officeDocument/2006/relationships/hyperlink" Target="https://probullstats.com/loggers/matchup.php?bull=54227&amp;guy=Claudio+Montanha+Jr." TargetMode="External"/><Relationship Id="rId23" Type="http://schemas.openxmlformats.org/officeDocument/2006/relationships/hyperlink" Target="https://probullstats.com/loggers/matchup.php?bull=44656&amp;guy=Mauricio+Gulla+Moreira" TargetMode="External"/><Relationship Id="rId28" Type="http://schemas.openxmlformats.org/officeDocument/2006/relationships/hyperlink" Target="https://probullstats.com/loggers/matchup.php?bull=54209&amp;guy=Andrew+Alvidrez" TargetMode="External"/><Relationship Id="rId36" Type="http://schemas.openxmlformats.org/officeDocument/2006/relationships/hyperlink" Target="https://probullstats.com/loggers/matchup.php?bull=45633&amp;guy=Marco+Rizzo" TargetMode="External"/><Relationship Id="rId10" Type="http://schemas.openxmlformats.org/officeDocument/2006/relationships/hyperlink" Target="https://probullstats.com/loggers/matchup.php?bull=56578&amp;guy=Vinicius+Pinheiro+Correa" TargetMode="External"/><Relationship Id="rId19" Type="http://schemas.openxmlformats.org/officeDocument/2006/relationships/hyperlink" Target="https://probullstats.com/loggers/matchup.php?bull=47941&amp;guy=Brady+Fielder" TargetMode="External"/><Relationship Id="rId31" Type="http://schemas.openxmlformats.org/officeDocument/2006/relationships/hyperlink" Target="https://probullstats.com/loggers/matchup.php?bull=53617&amp;guy=Bob+Mitchell" TargetMode="External"/><Relationship Id="rId4" Type="http://schemas.openxmlformats.org/officeDocument/2006/relationships/hyperlink" Target="https://probullstats.com/loggers/matchup.php?bull=51428&amp;guy=Grayson+Cole" TargetMode="External"/><Relationship Id="rId9" Type="http://schemas.openxmlformats.org/officeDocument/2006/relationships/hyperlink" Target="https://probullstats.com/loggers/matchup.php?bull=55809&amp;guy=Ramon+Fiorini" TargetMode="External"/><Relationship Id="rId14" Type="http://schemas.openxmlformats.org/officeDocument/2006/relationships/hyperlink" Target="https://probullstats.com/loggers/matchup.php?bull=50989&amp;guy=Lucas+Divino" TargetMode="External"/><Relationship Id="rId22" Type="http://schemas.openxmlformats.org/officeDocument/2006/relationships/hyperlink" Target="https://probullstats.com/loggers/matchup.php?bull=56540&amp;guy=Luciano+De+Castro" TargetMode="External"/><Relationship Id="rId27" Type="http://schemas.openxmlformats.org/officeDocument/2006/relationships/hyperlink" Target="https://probullstats.com/loggers/matchup.php?bull=48315&amp;guy=Daylon+Swearingen" TargetMode="External"/><Relationship Id="rId30" Type="http://schemas.openxmlformats.org/officeDocument/2006/relationships/hyperlink" Target="https://probullstats.com/loggers/matchup.php?bull=56577&amp;guy=Daniel+Keeping" TargetMode="External"/><Relationship Id="rId35" Type="http://schemas.openxmlformats.org/officeDocument/2006/relationships/hyperlink" Target="https://probullstats.com/loggers/matchup.php?bull=56035&amp;guy=Cassio+Dias" TargetMode="External"/><Relationship Id="rId8" Type="http://schemas.openxmlformats.org/officeDocument/2006/relationships/hyperlink" Target="https://probullstats.com/loggers/matchup.php?bull=56047&amp;guy=Dener+Barbosa" TargetMode="External"/><Relationship Id="rId3" Type="http://schemas.openxmlformats.org/officeDocument/2006/relationships/hyperlink" Target="https://probullstats.com/loggers/matchup.php?bull=54130&amp;guy=Trace+Redd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probullstats.com/loggers/matchup.php?bull=54869&amp;guy=Maverick+Smith" TargetMode="External"/><Relationship Id="rId18" Type="http://schemas.openxmlformats.org/officeDocument/2006/relationships/hyperlink" Target="https://probullstats.com/loggers/matchup.php?bull=52731&amp;guy=Marco+Rizzo" TargetMode="External"/><Relationship Id="rId26" Type="http://schemas.openxmlformats.org/officeDocument/2006/relationships/hyperlink" Target="https://probullstats.com/loggers/matchup.php?bull=56542&amp;guy=Cort+McFadden" TargetMode="External"/><Relationship Id="rId39" Type="http://schemas.openxmlformats.org/officeDocument/2006/relationships/hyperlink" Target="https://probullstats.com/loggers/matchup.php?bull=52618&amp;guy=Dener+Barbosa" TargetMode="External"/><Relationship Id="rId21" Type="http://schemas.openxmlformats.org/officeDocument/2006/relationships/hyperlink" Target="https://probullstats.com/loggers/matchup.php?bull=55889&amp;guy=Brady+Fielder" TargetMode="External"/><Relationship Id="rId34" Type="http://schemas.openxmlformats.org/officeDocument/2006/relationships/hyperlink" Target="https://probullstats.com/loggers/matchup.php?bull=53634&amp;guy=Marcelo+De+Souza+Dias+Junior" TargetMode="External"/><Relationship Id="rId42" Type="http://schemas.openxmlformats.org/officeDocument/2006/relationships/hyperlink" Target="https://probullstats.com/loggers/matchup.php?bull=52178&amp;guy=Cassio+Dias" TargetMode="External"/><Relationship Id="rId7" Type="http://schemas.openxmlformats.org/officeDocument/2006/relationships/hyperlink" Target="https://probullstats.com/loggers/matchup.php?bull=54839&amp;guy=Keyshawn+Whitehorse" TargetMode="External"/><Relationship Id="rId2" Type="http://schemas.openxmlformats.org/officeDocument/2006/relationships/hyperlink" Target="https://probullstats.com/loggers/matchup.php?bull=56214&amp;guy=Kase+Hitt" TargetMode="External"/><Relationship Id="rId16" Type="http://schemas.openxmlformats.org/officeDocument/2006/relationships/hyperlink" Target="https://probullstats.com/loggers/matchup.php?bull=55061&amp;guy=Bruno+Carvalho" TargetMode="External"/><Relationship Id="rId20" Type="http://schemas.openxmlformats.org/officeDocument/2006/relationships/hyperlink" Target="https://probullstats.com/loggers/matchup.php?bull=55423&amp;guy=Eduardo+Aparecido" TargetMode="External"/><Relationship Id="rId29" Type="http://schemas.openxmlformats.org/officeDocument/2006/relationships/hyperlink" Target="https://probullstats.com/loggers/matchup.php?bull=53635&amp;guy=Macaulie+Leather" TargetMode="External"/><Relationship Id="rId41" Type="http://schemas.openxmlformats.org/officeDocument/2006/relationships/hyperlink" Target="https://probullstats.com/loggers/matchup.php?bull=56319&amp;guy=Vinicius+Pinheiro+Correa" TargetMode="External"/><Relationship Id="rId1" Type="http://schemas.openxmlformats.org/officeDocument/2006/relationships/hyperlink" Target="https://probullstats.com/loggers/matchup.php?bull=52839&amp;guy=Jess+Lockwood" TargetMode="External"/><Relationship Id="rId6" Type="http://schemas.openxmlformats.org/officeDocument/2006/relationships/hyperlink" Target="https://probullstats.com/loggers/matchup.php?bull=48948&amp;guy=Bob+Mitchell" TargetMode="External"/><Relationship Id="rId11" Type="http://schemas.openxmlformats.org/officeDocument/2006/relationships/hyperlink" Target="https://probullstats.com/loggers/matchup.php?bull=54711&amp;guy=Alex+Cerqueira" TargetMode="External"/><Relationship Id="rId24" Type="http://schemas.openxmlformats.org/officeDocument/2006/relationships/hyperlink" Target="https://probullstats.com/loggers/matchup.php?bull=56045&amp;guy=Daniel+Keeping" TargetMode="External"/><Relationship Id="rId32" Type="http://schemas.openxmlformats.org/officeDocument/2006/relationships/hyperlink" Target="https://probullstats.com/loggers/matchup.php?bull=43263&amp;guy=Eric+Henrique+Domingos" TargetMode="External"/><Relationship Id="rId37" Type="http://schemas.openxmlformats.org/officeDocument/2006/relationships/hyperlink" Target="https://probullstats.com/loggers/matchup.php?bull=56543&amp;guy=Lucas+Divino" TargetMode="External"/><Relationship Id="rId40" Type="http://schemas.openxmlformats.org/officeDocument/2006/relationships/hyperlink" Target="https://probullstats.com/loggers/matchup.php?bull=47325&amp;guy=Koltin+Hevalow" TargetMode="External"/><Relationship Id="rId5" Type="http://schemas.openxmlformats.org/officeDocument/2006/relationships/hyperlink" Target="https://probullstats.com/loggers/matchup.php?bull=56540&amp;guy=Mauricio+Gulla+Moreira" TargetMode="External"/><Relationship Id="rId15" Type="http://schemas.openxmlformats.org/officeDocument/2006/relationships/hyperlink" Target="https://probullstats.com/loggers/matchup.php?bull=52572&amp;guy=Alex+Junior+da+Silva" TargetMode="External"/><Relationship Id="rId23" Type="http://schemas.openxmlformats.org/officeDocument/2006/relationships/hyperlink" Target="https://probullstats.com/loggers/matchup.php?bull=50890&amp;guy=Trace+Redd" TargetMode="External"/><Relationship Id="rId28" Type="http://schemas.openxmlformats.org/officeDocument/2006/relationships/hyperlink" Target="https://probullstats.com/loggers/matchup.php?bull=48463&amp;guy=Joao+Ricardo+Vieira" TargetMode="External"/><Relationship Id="rId36" Type="http://schemas.openxmlformats.org/officeDocument/2006/relationships/hyperlink" Target="https://probullstats.com/loggers/matchup.php?bull=52004&amp;guy=Bruno+Roberto" TargetMode="External"/><Relationship Id="rId10" Type="http://schemas.openxmlformats.org/officeDocument/2006/relationships/hyperlink" Target="https://probullstats.com/loggers/matchup.php?bull=56046&amp;guy=Paulo+Eduardo+Rossetto" TargetMode="External"/><Relationship Id="rId19" Type="http://schemas.openxmlformats.org/officeDocument/2006/relationships/hyperlink" Target="https://probullstats.com/loggers/matchup.php?bull=56541&amp;guy=John+Crimber" TargetMode="External"/><Relationship Id="rId31" Type="http://schemas.openxmlformats.org/officeDocument/2006/relationships/hyperlink" Target="https://probullstats.com/loggers/matchup.php?bull=55084&amp;guy=Sage+Kimzey" TargetMode="External"/><Relationship Id="rId4" Type="http://schemas.openxmlformats.org/officeDocument/2006/relationships/hyperlink" Target="https://probullstats.com/loggers/matchup.php?bull=55806&amp;guy=Kaiden+Loud" TargetMode="External"/><Relationship Id="rId9" Type="http://schemas.openxmlformats.org/officeDocument/2006/relationships/hyperlink" Target="https://probullstats.com/loggers/matchup.php?bull=53970&amp;guy=Leandro+Zampollo" TargetMode="External"/><Relationship Id="rId14" Type="http://schemas.openxmlformats.org/officeDocument/2006/relationships/hyperlink" Target="https://probullstats.com/loggers/matchup.php?bull=52181&amp;guy=Hudson+Bolton" TargetMode="External"/><Relationship Id="rId22" Type="http://schemas.openxmlformats.org/officeDocument/2006/relationships/hyperlink" Target="https://probullstats.com/loggers/matchup.php?bull=55691&amp;guy=Claudio+Montanha+Jr." TargetMode="External"/><Relationship Id="rId27" Type="http://schemas.openxmlformats.org/officeDocument/2006/relationships/hyperlink" Target="https://probullstats.com/loggers/matchup.php?bull=45407&amp;guy=Jadon+Hayes" TargetMode="External"/><Relationship Id="rId30" Type="http://schemas.openxmlformats.org/officeDocument/2006/relationships/hyperlink" Target="https://probullstats.com/loggers/matchup.php?bull=56345&amp;guy=Natanael+Serra+Aires" TargetMode="External"/><Relationship Id="rId35" Type="http://schemas.openxmlformats.org/officeDocument/2006/relationships/hyperlink" Target="https://probullstats.com/loggers/matchup.php?bull=55693&amp;guy=Callum+Miller" TargetMode="External"/><Relationship Id="rId43" Type="http://schemas.openxmlformats.org/officeDocument/2006/relationships/hyperlink" Target="https://probullstats.com/loggers/matchup.php?bull=54035&amp;guy=Dalton+Kasel" TargetMode="External"/><Relationship Id="rId8" Type="http://schemas.openxmlformats.org/officeDocument/2006/relationships/hyperlink" Target="https://probullstats.com/loggers/matchup.php?bull=53968&amp;guy=Manoelito+de+Souza+Junior" TargetMode="External"/><Relationship Id="rId3" Type="http://schemas.openxmlformats.org/officeDocument/2006/relationships/hyperlink" Target="https://probullstats.com/loggers/matchup.php?bull=56035&amp;guy=Julio+Cesar+Marques" TargetMode="External"/><Relationship Id="rId12" Type="http://schemas.openxmlformats.org/officeDocument/2006/relationships/hyperlink" Target="https://probullstats.com/loggers/matchup.php?bull=47944&amp;guy=Luciano+De+Castro" TargetMode="External"/><Relationship Id="rId17" Type="http://schemas.openxmlformats.org/officeDocument/2006/relationships/hyperlink" Target="https://probullstats.com/loggers/matchup.php?bull=54896&amp;guy=Mason+Taylor" TargetMode="External"/><Relationship Id="rId25" Type="http://schemas.openxmlformats.org/officeDocument/2006/relationships/hyperlink" Target="https://probullstats.com/loggers/matchup.php?bull=52122&amp;guy=Jose+Vitor+Leme" TargetMode="External"/><Relationship Id="rId33" Type="http://schemas.openxmlformats.org/officeDocument/2006/relationships/hyperlink" Target="https://probullstats.com/loggers/matchup.php?bull=50683&amp;guy=Kaique+Pacheco" TargetMode="External"/><Relationship Id="rId38" Type="http://schemas.openxmlformats.org/officeDocument/2006/relationships/hyperlink" Target="https://probullstats.com/loggers/matchup.php?bull=47812&amp;guy=Andy+Guzm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CAA71-EF8B-E143-BCEC-D101B7DB858C}">
  <dimension ref="A1:Y55"/>
  <sheetViews>
    <sheetView tabSelected="1" topLeftCell="C1" workbookViewId="0">
      <selection activeCell="R10" sqref="R10"/>
    </sheetView>
  </sheetViews>
  <sheetFormatPr baseColWidth="10" defaultRowHeight="16" x14ac:dyDescent="0.2"/>
  <cols>
    <col min="1" max="1" width="7.6640625" bestFit="1" customWidth="1"/>
    <col min="2" max="2" width="9.6640625" bestFit="1" customWidth="1"/>
    <col min="3" max="3" width="12.33203125" bestFit="1" customWidth="1"/>
    <col min="4" max="4" width="31.83203125" bestFit="1" customWidth="1"/>
    <col min="6" max="6" width="15" bestFit="1" customWidth="1"/>
    <col min="8" max="8" width="7.33203125" bestFit="1" customWidth="1"/>
    <col min="9" max="9" width="24.1640625" bestFit="1" customWidth="1"/>
    <col min="15" max="15" width="27.5" bestFit="1" customWidth="1"/>
    <col min="16" max="16" width="9.33203125" bestFit="1" customWidth="1"/>
    <col min="17" max="17" width="11.1640625" bestFit="1" customWidth="1"/>
    <col min="19" max="19" width="13.83203125" bestFit="1" customWidth="1"/>
    <col min="20" max="20" width="8.1640625" customWidth="1"/>
  </cols>
  <sheetData>
    <row r="1" spans="1:25" x14ac:dyDescent="0.2">
      <c r="A1" t="s">
        <v>3</v>
      </c>
      <c r="B1" t="s">
        <v>0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11</v>
      </c>
      <c r="J1" t="s">
        <v>12</v>
      </c>
      <c r="K1" t="s">
        <v>13</v>
      </c>
      <c r="L1" t="s">
        <v>1</v>
      </c>
      <c r="M1" t="s">
        <v>14</v>
      </c>
      <c r="N1" t="s">
        <v>15</v>
      </c>
      <c r="O1" t="s">
        <v>10</v>
      </c>
      <c r="P1" s="9" t="s">
        <v>16</v>
      </c>
      <c r="Q1" s="10" t="s">
        <v>17</v>
      </c>
      <c r="R1" s="11" t="s">
        <v>2</v>
      </c>
      <c r="S1" t="s">
        <v>18</v>
      </c>
      <c r="T1" t="s">
        <v>19</v>
      </c>
    </row>
    <row r="2" spans="1:25" ht="16" customHeight="1" x14ac:dyDescent="0.2">
      <c r="A2" s="1">
        <v>1</v>
      </c>
      <c r="B2" s="1">
        <v>66.790000000000006</v>
      </c>
      <c r="C2" s="1" t="s">
        <v>401</v>
      </c>
      <c r="D2" s="1" t="s">
        <v>402</v>
      </c>
      <c r="E2" s="1"/>
      <c r="F2" s="1" t="s">
        <v>354</v>
      </c>
      <c r="G2" s="1" t="s">
        <v>281</v>
      </c>
      <c r="H2" s="1">
        <v>1</v>
      </c>
      <c r="I2" s="1" t="s">
        <v>403</v>
      </c>
      <c r="J2" s="2" t="s">
        <v>26</v>
      </c>
      <c r="K2" t="s">
        <v>43</v>
      </c>
      <c r="L2" t="s">
        <v>404</v>
      </c>
      <c r="M2" t="s">
        <v>29</v>
      </c>
      <c r="N2" t="s">
        <v>445</v>
      </c>
      <c r="O2" s="14" t="s">
        <v>141</v>
      </c>
      <c r="P2" s="9" t="s">
        <v>505</v>
      </c>
      <c r="Q2" s="10" t="s">
        <v>505</v>
      </c>
      <c r="R2" s="11" t="s">
        <v>505</v>
      </c>
      <c r="Y2" s="13" t="s">
        <v>405</v>
      </c>
    </row>
    <row r="3" spans="1:25" ht="16" customHeight="1" x14ac:dyDescent="0.2">
      <c r="A3" s="1">
        <v>2</v>
      </c>
      <c r="B3" s="1">
        <v>41.71</v>
      </c>
      <c r="C3" s="1" t="s">
        <v>397</v>
      </c>
      <c r="D3" s="1" t="s">
        <v>398</v>
      </c>
      <c r="E3" s="1"/>
      <c r="F3" s="1" t="s">
        <v>399</v>
      </c>
      <c r="G3" s="1" t="s">
        <v>281</v>
      </c>
      <c r="H3" s="1">
        <v>1</v>
      </c>
      <c r="I3" s="1" t="s">
        <v>400</v>
      </c>
      <c r="J3" s="2" t="s">
        <v>26</v>
      </c>
      <c r="K3" t="s">
        <v>27</v>
      </c>
      <c r="L3" t="s">
        <v>446</v>
      </c>
      <c r="M3" t="s">
        <v>36</v>
      </c>
      <c r="N3" t="s">
        <v>447</v>
      </c>
      <c r="O3" s="14" t="s">
        <v>72</v>
      </c>
      <c r="P3" s="9">
        <v>41</v>
      </c>
      <c r="Q3" s="10">
        <v>0</v>
      </c>
      <c r="R3" s="11">
        <v>0</v>
      </c>
      <c r="Y3" s="13" t="s">
        <v>406</v>
      </c>
    </row>
    <row r="4" spans="1:25" ht="16" customHeight="1" x14ac:dyDescent="0.2">
      <c r="A4" s="1">
        <v>3</v>
      </c>
      <c r="B4" s="1">
        <v>58.27</v>
      </c>
      <c r="C4" s="1" t="s">
        <v>393</v>
      </c>
      <c r="D4" s="1" t="s">
        <v>394</v>
      </c>
      <c r="E4" s="1">
        <v>10230319</v>
      </c>
      <c r="F4" s="1" t="s">
        <v>395</v>
      </c>
      <c r="G4" s="1" t="s">
        <v>281</v>
      </c>
      <c r="H4" s="1">
        <v>1</v>
      </c>
      <c r="I4" s="1" t="s">
        <v>396</v>
      </c>
      <c r="J4" s="2" t="s">
        <v>26</v>
      </c>
      <c r="K4" t="s">
        <v>27</v>
      </c>
      <c r="L4" t="s">
        <v>446</v>
      </c>
      <c r="M4" t="s">
        <v>36</v>
      </c>
      <c r="N4" t="s">
        <v>448</v>
      </c>
      <c r="O4" s="14" t="s">
        <v>34</v>
      </c>
      <c r="P4" s="9">
        <v>39</v>
      </c>
      <c r="Q4" s="10">
        <v>38</v>
      </c>
      <c r="R4" s="11">
        <v>77</v>
      </c>
      <c r="Y4" s="13" t="s">
        <v>407</v>
      </c>
    </row>
    <row r="5" spans="1:25" ht="16" customHeight="1" x14ac:dyDescent="0.2">
      <c r="A5" s="1">
        <v>4</v>
      </c>
      <c r="B5" s="1">
        <v>48.73</v>
      </c>
      <c r="C5" s="1" t="s">
        <v>390</v>
      </c>
      <c r="D5" s="1" t="s">
        <v>391</v>
      </c>
      <c r="E5" s="1">
        <v>10256903</v>
      </c>
      <c r="F5" s="1" t="s">
        <v>354</v>
      </c>
      <c r="G5" s="1" t="s">
        <v>281</v>
      </c>
      <c r="H5" s="1">
        <v>1</v>
      </c>
      <c r="I5" s="1" t="s">
        <v>392</v>
      </c>
      <c r="J5" s="2" t="s">
        <v>26</v>
      </c>
      <c r="K5" t="s">
        <v>27</v>
      </c>
      <c r="L5" t="s">
        <v>449</v>
      </c>
      <c r="M5" t="s">
        <v>29</v>
      </c>
      <c r="N5" t="s">
        <v>450</v>
      </c>
      <c r="O5" s="14" t="s">
        <v>120</v>
      </c>
      <c r="P5" s="9">
        <v>45</v>
      </c>
      <c r="Q5" s="10">
        <v>45</v>
      </c>
      <c r="R5" s="11">
        <v>90</v>
      </c>
      <c r="Y5" s="13" t="s">
        <v>408</v>
      </c>
    </row>
    <row r="6" spans="1:25" ht="16" customHeight="1" x14ac:dyDescent="0.2">
      <c r="A6" s="1">
        <v>5</v>
      </c>
      <c r="B6" s="1">
        <v>68.94</v>
      </c>
      <c r="C6" s="1" t="s">
        <v>387</v>
      </c>
      <c r="D6" s="1" t="s">
        <v>388</v>
      </c>
      <c r="E6" s="1">
        <v>10215145</v>
      </c>
      <c r="F6" s="1" t="s">
        <v>84</v>
      </c>
      <c r="G6" s="1" t="s">
        <v>281</v>
      </c>
      <c r="H6" s="1">
        <v>1</v>
      </c>
      <c r="I6" s="1" t="s">
        <v>389</v>
      </c>
      <c r="J6" s="2" t="s">
        <v>26</v>
      </c>
      <c r="K6" t="s">
        <v>43</v>
      </c>
      <c r="L6" t="s">
        <v>451</v>
      </c>
      <c r="M6" t="s">
        <v>99</v>
      </c>
      <c r="N6" t="s">
        <v>452</v>
      </c>
      <c r="O6" s="14" t="s">
        <v>131</v>
      </c>
      <c r="P6" s="9" t="s">
        <v>505</v>
      </c>
      <c r="Q6" s="10" t="s">
        <v>505</v>
      </c>
      <c r="R6" s="11" t="s">
        <v>505</v>
      </c>
      <c r="Y6" s="13" t="s">
        <v>409</v>
      </c>
    </row>
    <row r="7" spans="1:25" ht="16" customHeight="1" x14ac:dyDescent="0.2">
      <c r="A7" s="1"/>
      <c r="B7" s="1"/>
      <c r="C7" s="1"/>
      <c r="D7" s="1" t="s">
        <v>274</v>
      </c>
      <c r="E7" s="1"/>
      <c r="F7" s="1"/>
      <c r="G7" s="1"/>
      <c r="H7" s="1"/>
      <c r="I7" s="1"/>
      <c r="J7" s="2"/>
      <c r="O7" s="14" t="s">
        <v>141</v>
      </c>
      <c r="P7" s="9">
        <v>45</v>
      </c>
      <c r="Q7" s="10">
        <v>45</v>
      </c>
      <c r="R7" s="11">
        <v>45</v>
      </c>
      <c r="Y7" s="13"/>
    </row>
    <row r="8" spans="1:25" ht="16" customHeight="1" x14ac:dyDescent="0.2">
      <c r="A8" s="1"/>
      <c r="B8" s="1"/>
      <c r="C8" s="1"/>
      <c r="D8" s="1" t="s">
        <v>274</v>
      </c>
      <c r="E8" s="1"/>
      <c r="F8" s="1"/>
      <c r="G8" s="1"/>
      <c r="H8" s="1"/>
      <c r="I8" s="1"/>
      <c r="J8" s="2"/>
      <c r="O8" s="14" t="s">
        <v>131</v>
      </c>
      <c r="P8" s="9">
        <v>43</v>
      </c>
      <c r="Q8" s="10">
        <v>0</v>
      </c>
      <c r="R8" s="11">
        <v>0</v>
      </c>
      <c r="Y8" s="13"/>
    </row>
    <row r="9" spans="1:25" ht="16" customHeight="1" x14ac:dyDescent="0.2">
      <c r="A9" s="1">
        <v>6</v>
      </c>
      <c r="B9" s="1" t="s">
        <v>31</v>
      </c>
      <c r="C9" s="1" t="s">
        <v>385</v>
      </c>
      <c r="D9" s="1" t="s">
        <v>40</v>
      </c>
      <c r="E9" s="1"/>
      <c r="F9" s="1" t="s">
        <v>22</v>
      </c>
      <c r="G9" s="1" t="s">
        <v>281</v>
      </c>
      <c r="H9" s="1">
        <v>2</v>
      </c>
      <c r="I9" s="1" t="s">
        <v>386</v>
      </c>
      <c r="J9" s="2" t="s">
        <v>26</v>
      </c>
      <c r="K9" t="s">
        <v>43</v>
      </c>
      <c r="N9" t="s">
        <v>453</v>
      </c>
      <c r="O9" s="1" t="s">
        <v>260</v>
      </c>
      <c r="P9" s="9"/>
      <c r="Q9" s="10"/>
      <c r="R9" s="11"/>
      <c r="Y9" s="13" t="s">
        <v>410</v>
      </c>
    </row>
    <row r="10" spans="1:25" ht="16" customHeight="1" x14ac:dyDescent="0.2">
      <c r="A10" s="1">
        <v>7</v>
      </c>
      <c r="B10" s="1">
        <v>71</v>
      </c>
      <c r="C10" s="1" t="s">
        <v>382</v>
      </c>
      <c r="D10" s="1" t="s">
        <v>21</v>
      </c>
      <c r="E10" s="1">
        <v>10229185</v>
      </c>
      <c r="F10" s="1" t="s">
        <v>22</v>
      </c>
      <c r="G10" s="1" t="s">
        <v>281</v>
      </c>
      <c r="H10" s="1">
        <v>2</v>
      </c>
      <c r="I10" s="1" t="s">
        <v>384</v>
      </c>
      <c r="J10" s="2" t="s">
        <v>26</v>
      </c>
      <c r="K10" t="s">
        <v>43</v>
      </c>
      <c r="L10" t="s">
        <v>454</v>
      </c>
      <c r="M10" t="s">
        <v>29</v>
      </c>
      <c r="N10" t="s">
        <v>455</v>
      </c>
      <c r="O10" s="1" t="s">
        <v>383</v>
      </c>
      <c r="P10" s="9" t="s">
        <v>505</v>
      </c>
      <c r="Q10" s="10" t="s">
        <v>505</v>
      </c>
      <c r="R10" s="11" t="s">
        <v>505</v>
      </c>
      <c r="Y10" s="13" t="s">
        <v>411</v>
      </c>
    </row>
    <row r="11" spans="1:25" ht="16" customHeight="1" x14ac:dyDescent="0.2">
      <c r="A11" s="1">
        <v>8</v>
      </c>
      <c r="B11" s="1" t="s">
        <v>31</v>
      </c>
      <c r="C11" s="5" t="s">
        <v>161</v>
      </c>
      <c r="D11" s="1" t="s">
        <v>33</v>
      </c>
      <c r="E11" s="1">
        <v>10250898</v>
      </c>
      <c r="F11" s="1" t="s">
        <v>22</v>
      </c>
      <c r="G11" s="1" t="s">
        <v>281</v>
      </c>
      <c r="H11" s="1">
        <v>2</v>
      </c>
      <c r="I11" s="1" t="s">
        <v>381</v>
      </c>
      <c r="J11" s="2" t="s">
        <v>26</v>
      </c>
      <c r="K11" t="s">
        <v>27</v>
      </c>
      <c r="N11" t="s">
        <v>456</v>
      </c>
      <c r="O11" s="1" t="s">
        <v>90</v>
      </c>
      <c r="P11" s="9"/>
      <c r="Q11" s="10"/>
      <c r="R11" s="11"/>
      <c r="Y11" s="13" t="s">
        <v>412</v>
      </c>
    </row>
    <row r="12" spans="1:25" ht="16" customHeight="1" x14ac:dyDescent="0.2">
      <c r="A12" s="1">
        <v>9</v>
      </c>
      <c r="B12" s="1">
        <v>52.32</v>
      </c>
      <c r="C12" s="1" t="s">
        <v>377</v>
      </c>
      <c r="D12" s="1" t="s">
        <v>378</v>
      </c>
      <c r="E12" s="1"/>
      <c r="F12" s="1" t="s">
        <v>53</v>
      </c>
      <c r="G12" s="1" t="s">
        <v>281</v>
      </c>
      <c r="H12" s="1">
        <v>2</v>
      </c>
      <c r="I12" s="1" t="s">
        <v>380</v>
      </c>
      <c r="J12" s="2" t="s">
        <v>26</v>
      </c>
      <c r="K12" t="s">
        <v>27</v>
      </c>
      <c r="L12" t="s">
        <v>457</v>
      </c>
      <c r="M12" t="s">
        <v>29</v>
      </c>
      <c r="N12" t="s">
        <v>458</v>
      </c>
      <c r="O12" s="1" t="s">
        <v>379</v>
      </c>
      <c r="P12" s="9" t="s">
        <v>505</v>
      </c>
      <c r="Q12" s="10" t="s">
        <v>505</v>
      </c>
      <c r="R12" s="11" t="s">
        <v>505</v>
      </c>
      <c r="Y12" s="13" t="s">
        <v>413</v>
      </c>
    </row>
    <row r="13" spans="1:25" ht="16" customHeight="1" x14ac:dyDescent="0.2">
      <c r="A13" s="1">
        <v>10</v>
      </c>
      <c r="B13" s="1">
        <v>59.59</v>
      </c>
      <c r="C13" s="1" t="s">
        <v>374</v>
      </c>
      <c r="D13" s="1" t="s">
        <v>375</v>
      </c>
      <c r="E13" s="1"/>
      <c r="F13" s="1" t="s">
        <v>53</v>
      </c>
      <c r="G13" s="1" t="s">
        <v>281</v>
      </c>
      <c r="H13" s="1">
        <v>2</v>
      </c>
      <c r="I13" s="1" t="s">
        <v>376</v>
      </c>
      <c r="J13" s="2" t="s">
        <v>26</v>
      </c>
      <c r="K13" t="s">
        <v>27</v>
      </c>
      <c r="L13" t="s">
        <v>459</v>
      </c>
      <c r="M13" t="s">
        <v>29</v>
      </c>
      <c r="N13" t="s">
        <v>460</v>
      </c>
      <c r="O13" s="1" t="s">
        <v>60</v>
      </c>
      <c r="P13" s="9"/>
      <c r="Q13" s="10"/>
      <c r="R13" s="11"/>
      <c r="Y13" s="13" t="s">
        <v>414</v>
      </c>
    </row>
    <row r="14" spans="1:25" ht="16" customHeight="1" x14ac:dyDescent="0.2">
      <c r="A14" s="1">
        <v>11</v>
      </c>
      <c r="B14" s="1" t="s">
        <v>31</v>
      </c>
      <c r="C14" s="7" t="s">
        <v>51</v>
      </c>
      <c r="D14" s="1" t="s">
        <v>372</v>
      </c>
      <c r="E14" s="1">
        <v>10268379</v>
      </c>
      <c r="F14" s="1" t="s">
        <v>53</v>
      </c>
      <c r="G14" s="1" t="s">
        <v>281</v>
      </c>
      <c r="H14" s="1">
        <v>2</v>
      </c>
      <c r="I14" s="1" t="s">
        <v>373</v>
      </c>
      <c r="J14" s="2" t="s">
        <v>26</v>
      </c>
      <c r="K14" t="s">
        <v>27</v>
      </c>
      <c r="N14" t="s">
        <v>461</v>
      </c>
      <c r="O14" s="1" t="s">
        <v>163</v>
      </c>
      <c r="P14" s="9"/>
      <c r="Q14" s="10"/>
      <c r="R14" s="11"/>
      <c r="Y14" s="13" t="s">
        <v>415</v>
      </c>
    </row>
    <row r="15" spans="1:25" ht="16" customHeight="1" x14ac:dyDescent="0.2">
      <c r="A15" s="1">
        <v>12</v>
      </c>
      <c r="B15" s="1">
        <v>67.209999999999994</v>
      </c>
      <c r="C15" s="1" t="s">
        <v>369</v>
      </c>
      <c r="D15" s="1" t="s">
        <v>370</v>
      </c>
      <c r="E15" s="1"/>
      <c r="F15" s="1" t="s">
        <v>342</v>
      </c>
      <c r="G15" s="1" t="s">
        <v>281</v>
      </c>
      <c r="H15" s="1">
        <v>3</v>
      </c>
      <c r="I15" s="1" t="s">
        <v>371</v>
      </c>
      <c r="J15" s="2" t="s">
        <v>26</v>
      </c>
      <c r="K15" t="s">
        <v>27</v>
      </c>
      <c r="L15" t="s">
        <v>462</v>
      </c>
      <c r="M15" t="s">
        <v>99</v>
      </c>
      <c r="N15" t="s">
        <v>463</v>
      </c>
      <c r="O15" s="14" t="s">
        <v>24</v>
      </c>
      <c r="P15" s="9"/>
      <c r="Q15" s="10"/>
      <c r="R15" s="11"/>
      <c r="Y15" s="13" t="s">
        <v>416</v>
      </c>
    </row>
    <row r="16" spans="1:25" ht="16" customHeight="1" x14ac:dyDescent="0.2">
      <c r="A16" s="1">
        <v>13</v>
      </c>
      <c r="B16" s="1">
        <v>75.92</v>
      </c>
      <c r="C16" s="5" t="s">
        <v>365</v>
      </c>
      <c r="D16" s="1" t="s">
        <v>366</v>
      </c>
      <c r="E16" s="1">
        <v>10272036</v>
      </c>
      <c r="F16" s="1" t="s">
        <v>287</v>
      </c>
      <c r="G16" s="1" t="s">
        <v>281</v>
      </c>
      <c r="H16" s="1">
        <v>3</v>
      </c>
      <c r="I16" s="1" t="s">
        <v>368</v>
      </c>
      <c r="J16" s="2" t="s">
        <v>26</v>
      </c>
      <c r="K16" t="s">
        <v>43</v>
      </c>
      <c r="L16" t="s">
        <v>446</v>
      </c>
      <c r="M16" t="s">
        <v>36</v>
      </c>
      <c r="N16" t="s">
        <v>464</v>
      </c>
      <c r="O16" s="14" t="s">
        <v>367</v>
      </c>
      <c r="P16" s="9"/>
      <c r="Q16" s="10"/>
      <c r="R16" s="11"/>
      <c r="Y16" s="13" t="s">
        <v>417</v>
      </c>
    </row>
    <row r="17" spans="1:25" ht="16" customHeight="1" x14ac:dyDescent="0.2">
      <c r="A17" s="1">
        <v>14</v>
      </c>
      <c r="B17" s="1">
        <v>78.86</v>
      </c>
      <c r="C17" s="1" t="s">
        <v>360</v>
      </c>
      <c r="D17" s="1" t="s">
        <v>361</v>
      </c>
      <c r="E17" s="1"/>
      <c r="F17" s="1" t="s">
        <v>362</v>
      </c>
      <c r="G17" s="1" t="s">
        <v>281</v>
      </c>
      <c r="H17" s="1">
        <v>3</v>
      </c>
      <c r="I17" s="1" t="s">
        <v>364</v>
      </c>
      <c r="J17" s="2" t="s">
        <v>26</v>
      </c>
      <c r="K17" t="s">
        <v>27</v>
      </c>
      <c r="L17" t="s">
        <v>465</v>
      </c>
      <c r="M17" t="s">
        <v>29</v>
      </c>
      <c r="N17" t="s">
        <v>466</v>
      </c>
      <c r="O17" s="14" t="s">
        <v>363</v>
      </c>
      <c r="P17" s="9"/>
      <c r="Q17" s="10"/>
      <c r="R17" s="11"/>
      <c r="Y17" s="13" t="s">
        <v>418</v>
      </c>
    </row>
    <row r="18" spans="1:25" ht="16" customHeight="1" x14ac:dyDescent="0.2">
      <c r="A18" s="1">
        <v>15</v>
      </c>
      <c r="B18" s="1">
        <v>57.72</v>
      </c>
      <c r="C18" s="1" t="s">
        <v>356</v>
      </c>
      <c r="D18" s="1" t="s">
        <v>357</v>
      </c>
      <c r="E18" s="1"/>
      <c r="F18" s="1" t="s">
        <v>294</v>
      </c>
      <c r="G18" s="1" t="s">
        <v>281</v>
      </c>
      <c r="H18" s="1">
        <v>3</v>
      </c>
      <c r="I18" s="1" t="s">
        <v>359</v>
      </c>
      <c r="J18" s="2" t="s">
        <v>26</v>
      </c>
      <c r="K18" t="s">
        <v>27</v>
      </c>
      <c r="L18" t="s">
        <v>467</v>
      </c>
      <c r="M18" t="s">
        <v>99</v>
      </c>
      <c r="N18" t="s">
        <v>468</v>
      </c>
      <c r="O18" s="14" t="s">
        <v>358</v>
      </c>
      <c r="P18" s="9"/>
      <c r="Q18" s="10"/>
      <c r="R18" s="11"/>
      <c r="Y18" s="13" t="s">
        <v>419</v>
      </c>
    </row>
    <row r="19" spans="1:25" ht="16" customHeight="1" x14ac:dyDescent="0.2">
      <c r="A19" s="1">
        <v>16</v>
      </c>
      <c r="B19" s="1">
        <v>65.19</v>
      </c>
      <c r="C19" s="1" t="s">
        <v>352</v>
      </c>
      <c r="D19" s="1" t="s">
        <v>353</v>
      </c>
      <c r="E19" s="1">
        <v>10276006</v>
      </c>
      <c r="F19" s="1" t="s">
        <v>354</v>
      </c>
      <c r="G19" s="1" t="s">
        <v>281</v>
      </c>
      <c r="H19" s="1">
        <v>4</v>
      </c>
      <c r="I19" s="1" t="s">
        <v>355</v>
      </c>
      <c r="J19" s="2" t="s">
        <v>26</v>
      </c>
      <c r="K19" t="s">
        <v>27</v>
      </c>
      <c r="L19" t="s">
        <v>469</v>
      </c>
      <c r="M19" t="s">
        <v>99</v>
      </c>
      <c r="N19" t="s">
        <v>470</v>
      </c>
      <c r="O19" s="1" t="s">
        <v>187</v>
      </c>
      <c r="P19" s="9"/>
      <c r="Q19" s="10"/>
      <c r="R19" s="11"/>
      <c r="Y19" s="13" t="s">
        <v>420</v>
      </c>
    </row>
    <row r="20" spans="1:25" ht="16" customHeight="1" x14ac:dyDescent="0.2">
      <c r="A20" s="1">
        <v>17</v>
      </c>
      <c r="B20" s="1">
        <v>66.97</v>
      </c>
      <c r="C20" s="1" t="s">
        <v>349</v>
      </c>
      <c r="D20" s="1" t="s">
        <v>350</v>
      </c>
      <c r="E20" s="1">
        <v>10243159</v>
      </c>
      <c r="F20" s="1" t="s">
        <v>310</v>
      </c>
      <c r="G20" s="1" t="s">
        <v>281</v>
      </c>
      <c r="H20" s="1">
        <v>4</v>
      </c>
      <c r="I20" s="1" t="s">
        <v>351</v>
      </c>
      <c r="J20" s="2" t="s">
        <v>26</v>
      </c>
      <c r="K20" t="s">
        <v>27</v>
      </c>
      <c r="L20" t="s">
        <v>471</v>
      </c>
      <c r="M20" t="s">
        <v>29</v>
      </c>
      <c r="N20" t="s">
        <v>472</v>
      </c>
      <c r="O20" s="1" t="s">
        <v>238</v>
      </c>
      <c r="P20" s="9"/>
      <c r="Q20" s="10"/>
      <c r="R20" s="11"/>
      <c r="Y20" s="13" t="s">
        <v>421</v>
      </c>
    </row>
    <row r="21" spans="1:25" ht="16" customHeight="1" x14ac:dyDescent="0.2">
      <c r="A21" s="1">
        <v>18</v>
      </c>
      <c r="B21" s="1">
        <v>75.709999999999994</v>
      </c>
      <c r="C21" s="1" t="s">
        <v>346</v>
      </c>
      <c r="D21" s="1" t="s">
        <v>347</v>
      </c>
      <c r="E21" s="1">
        <v>10205390</v>
      </c>
      <c r="F21" s="1" t="s">
        <v>310</v>
      </c>
      <c r="G21" s="1" t="s">
        <v>281</v>
      </c>
      <c r="H21" s="1">
        <v>4</v>
      </c>
      <c r="I21" s="1" t="s">
        <v>348</v>
      </c>
      <c r="J21" s="2" t="s">
        <v>26</v>
      </c>
      <c r="K21" t="s">
        <v>27</v>
      </c>
      <c r="L21" t="s">
        <v>473</v>
      </c>
      <c r="M21" t="s">
        <v>99</v>
      </c>
      <c r="N21" t="s">
        <v>474</v>
      </c>
      <c r="O21" s="1" t="s">
        <v>54</v>
      </c>
      <c r="P21" s="9"/>
      <c r="Q21" s="10"/>
      <c r="R21" s="11"/>
      <c r="Y21" s="13" t="s">
        <v>422</v>
      </c>
    </row>
    <row r="22" spans="1:25" ht="16" customHeight="1" x14ac:dyDescent="0.2">
      <c r="A22" s="1">
        <v>19</v>
      </c>
      <c r="B22" s="1" t="s">
        <v>31</v>
      </c>
      <c r="C22" s="5" t="s">
        <v>344</v>
      </c>
      <c r="D22" s="1" t="s">
        <v>52</v>
      </c>
      <c r="E22" s="1"/>
      <c r="F22" s="1" t="s">
        <v>53</v>
      </c>
      <c r="G22" s="1" t="s">
        <v>281</v>
      </c>
      <c r="H22" s="1">
        <v>4</v>
      </c>
      <c r="I22" s="1" t="s">
        <v>345</v>
      </c>
      <c r="J22" s="2" t="s">
        <v>26</v>
      </c>
      <c r="K22" t="s">
        <v>27</v>
      </c>
      <c r="N22" t="s">
        <v>475</v>
      </c>
      <c r="O22" s="1" t="s">
        <v>96</v>
      </c>
      <c r="P22" s="9"/>
      <c r="Q22" s="10"/>
      <c r="R22" s="11"/>
      <c r="Y22" s="13" t="s">
        <v>423</v>
      </c>
    </row>
    <row r="23" spans="1:25" ht="16" customHeight="1" x14ac:dyDescent="0.2">
      <c r="A23" s="1">
        <v>20</v>
      </c>
      <c r="B23" s="1">
        <v>77.819999999999993</v>
      </c>
      <c r="C23" s="1" t="s">
        <v>340</v>
      </c>
      <c r="D23" s="1" t="s">
        <v>341</v>
      </c>
      <c r="E23" s="1">
        <v>10231548</v>
      </c>
      <c r="F23" s="1" t="s">
        <v>342</v>
      </c>
      <c r="G23" s="1" t="s">
        <v>281</v>
      </c>
      <c r="H23" s="1">
        <v>4</v>
      </c>
      <c r="I23" s="1" t="s">
        <v>343</v>
      </c>
      <c r="J23" s="2" t="s">
        <v>26</v>
      </c>
      <c r="K23" t="s">
        <v>43</v>
      </c>
      <c r="L23" t="s">
        <v>476</v>
      </c>
      <c r="M23" t="s">
        <v>29</v>
      </c>
      <c r="N23" t="s">
        <v>477</v>
      </c>
      <c r="O23" s="1" t="s">
        <v>114</v>
      </c>
      <c r="P23" s="9"/>
      <c r="Q23" s="10"/>
      <c r="R23" s="11"/>
      <c r="Y23" s="13" t="s">
        <v>424</v>
      </c>
    </row>
    <row r="24" spans="1:25" ht="16" customHeight="1" x14ac:dyDescent="0.2">
      <c r="A24" s="1">
        <v>21</v>
      </c>
      <c r="B24" s="1">
        <v>73.45</v>
      </c>
      <c r="C24" s="1" t="s">
        <v>105</v>
      </c>
      <c r="D24" s="1" t="s">
        <v>338</v>
      </c>
      <c r="E24" s="1">
        <v>10268851</v>
      </c>
      <c r="F24" s="1" t="s">
        <v>334</v>
      </c>
      <c r="G24" s="1" t="s">
        <v>281</v>
      </c>
      <c r="H24" s="1">
        <v>5</v>
      </c>
      <c r="I24" s="1" t="s">
        <v>339</v>
      </c>
      <c r="J24" s="2" t="s">
        <v>26</v>
      </c>
      <c r="K24" t="s">
        <v>27</v>
      </c>
      <c r="L24" t="s">
        <v>465</v>
      </c>
      <c r="M24" t="s">
        <v>29</v>
      </c>
      <c r="N24" t="s">
        <v>478</v>
      </c>
      <c r="O24" s="14" t="s">
        <v>136</v>
      </c>
      <c r="P24" s="9"/>
      <c r="Q24" s="10"/>
      <c r="R24" s="11"/>
      <c r="Y24" s="13" t="s">
        <v>425</v>
      </c>
    </row>
    <row r="25" spans="1:25" ht="16" customHeight="1" x14ac:dyDescent="0.2">
      <c r="A25" s="1">
        <v>22</v>
      </c>
      <c r="B25" s="1">
        <v>74.900000000000006</v>
      </c>
      <c r="C25" s="5" t="s">
        <v>117</v>
      </c>
      <c r="D25" s="1" t="s">
        <v>336</v>
      </c>
      <c r="E25" s="1">
        <v>10229189</v>
      </c>
      <c r="F25" s="1" t="s">
        <v>334</v>
      </c>
      <c r="G25" s="1" t="s">
        <v>281</v>
      </c>
      <c r="H25" s="1">
        <v>5</v>
      </c>
      <c r="I25" s="1" t="s">
        <v>337</v>
      </c>
      <c r="J25" s="2" t="s">
        <v>26</v>
      </c>
      <c r="K25" t="s">
        <v>43</v>
      </c>
      <c r="L25" t="s">
        <v>446</v>
      </c>
      <c r="M25" t="s">
        <v>36</v>
      </c>
      <c r="N25" t="s">
        <v>479</v>
      </c>
      <c r="O25" s="14" t="s">
        <v>146</v>
      </c>
      <c r="P25" s="9"/>
      <c r="Q25" s="10"/>
      <c r="R25" s="11"/>
      <c r="Y25" s="13" t="s">
        <v>426</v>
      </c>
    </row>
    <row r="26" spans="1:25" ht="16" customHeight="1" x14ac:dyDescent="0.2">
      <c r="A26" s="1">
        <v>23</v>
      </c>
      <c r="B26" s="1">
        <v>61.01</v>
      </c>
      <c r="C26" s="1" t="s">
        <v>332</v>
      </c>
      <c r="D26" s="1" t="s">
        <v>333</v>
      </c>
      <c r="E26" s="1">
        <v>10262490</v>
      </c>
      <c r="F26" s="1" t="s">
        <v>334</v>
      </c>
      <c r="G26" s="1" t="s">
        <v>281</v>
      </c>
      <c r="H26" s="1">
        <v>5</v>
      </c>
      <c r="I26" s="1" t="s">
        <v>335</v>
      </c>
      <c r="J26" s="2" t="s">
        <v>26</v>
      </c>
      <c r="K26" t="s">
        <v>43</v>
      </c>
      <c r="L26" t="s">
        <v>74</v>
      </c>
      <c r="M26" t="s">
        <v>99</v>
      </c>
      <c r="N26" t="s">
        <v>480</v>
      </c>
      <c r="O26" s="14" t="s">
        <v>66</v>
      </c>
      <c r="P26" s="9"/>
      <c r="Q26" s="10"/>
      <c r="R26" s="11"/>
      <c r="Y26" s="13" t="s">
        <v>427</v>
      </c>
    </row>
    <row r="27" spans="1:25" ht="16" customHeight="1" x14ac:dyDescent="0.2">
      <c r="A27" s="1">
        <v>24</v>
      </c>
      <c r="B27" s="8">
        <v>84.69</v>
      </c>
      <c r="C27" s="1" t="s">
        <v>329</v>
      </c>
      <c r="D27" s="1" t="s">
        <v>330</v>
      </c>
      <c r="E27" s="1"/>
      <c r="F27" s="1" t="s">
        <v>84</v>
      </c>
      <c r="G27" s="1" t="s">
        <v>281</v>
      </c>
      <c r="H27" s="1">
        <v>5</v>
      </c>
      <c r="I27" s="1" t="s">
        <v>331</v>
      </c>
      <c r="J27" s="2" t="s">
        <v>26</v>
      </c>
      <c r="K27" t="s">
        <v>27</v>
      </c>
      <c r="L27" t="s">
        <v>481</v>
      </c>
      <c r="M27" t="s">
        <v>29</v>
      </c>
      <c r="N27" t="s">
        <v>482</v>
      </c>
      <c r="O27" s="14" t="s">
        <v>108</v>
      </c>
      <c r="P27" s="9"/>
      <c r="Q27" s="10"/>
      <c r="R27" s="11"/>
      <c r="Y27" s="13" t="s">
        <v>428</v>
      </c>
    </row>
    <row r="28" spans="1:25" ht="16" customHeight="1" x14ac:dyDescent="0.2">
      <c r="A28" s="1">
        <v>25</v>
      </c>
      <c r="B28" s="1">
        <v>42.09</v>
      </c>
      <c r="C28" s="1" t="s">
        <v>326</v>
      </c>
      <c r="D28" s="1" t="s">
        <v>327</v>
      </c>
      <c r="E28" s="1">
        <v>10270857</v>
      </c>
      <c r="F28" s="1" t="s">
        <v>287</v>
      </c>
      <c r="G28" s="1" t="s">
        <v>281</v>
      </c>
      <c r="H28" s="1">
        <v>5</v>
      </c>
      <c r="I28" s="1" t="s">
        <v>328</v>
      </c>
      <c r="J28" s="2" t="s">
        <v>26</v>
      </c>
      <c r="K28" t="s">
        <v>27</v>
      </c>
      <c r="L28" t="s">
        <v>483</v>
      </c>
      <c r="M28" t="s">
        <v>99</v>
      </c>
      <c r="N28" t="s">
        <v>484</v>
      </c>
      <c r="O28" s="14" t="s">
        <v>250</v>
      </c>
      <c r="P28" s="9"/>
      <c r="Q28" s="10"/>
      <c r="R28" s="11"/>
      <c r="Y28" s="13" t="s">
        <v>429</v>
      </c>
    </row>
    <row r="29" spans="1:25" ht="16" customHeight="1" x14ac:dyDescent="0.2">
      <c r="A29" s="1">
        <v>26</v>
      </c>
      <c r="B29" s="1">
        <v>55.03</v>
      </c>
      <c r="C29" s="1" t="s">
        <v>323</v>
      </c>
      <c r="D29" s="1" t="s">
        <v>324</v>
      </c>
      <c r="E29" s="1"/>
      <c r="F29" s="1" t="s">
        <v>84</v>
      </c>
      <c r="G29" s="1" t="s">
        <v>281</v>
      </c>
      <c r="H29" s="1">
        <v>5</v>
      </c>
      <c r="I29" s="1" t="s">
        <v>325</v>
      </c>
      <c r="J29" s="2" t="s">
        <v>26</v>
      </c>
      <c r="K29" t="s">
        <v>43</v>
      </c>
      <c r="L29" t="s">
        <v>485</v>
      </c>
      <c r="M29" t="s">
        <v>29</v>
      </c>
      <c r="N29" t="s">
        <v>486</v>
      </c>
      <c r="O29" s="14" t="s">
        <v>151</v>
      </c>
      <c r="P29" s="9"/>
      <c r="Q29" s="10"/>
      <c r="R29" s="11"/>
      <c r="Y29" s="13" t="s">
        <v>430</v>
      </c>
    </row>
    <row r="30" spans="1:25" ht="16" customHeight="1" x14ac:dyDescent="0.2">
      <c r="A30" s="1">
        <v>27</v>
      </c>
      <c r="B30" s="1">
        <v>68.459999999999994</v>
      </c>
      <c r="C30" s="1" t="s">
        <v>320</v>
      </c>
      <c r="D30" s="1" t="s">
        <v>321</v>
      </c>
      <c r="E30" s="1">
        <v>10229166</v>
      </c>
      <c r="F30" s="1" t="s">
        <v>53</v>
      </c>
      <c r="G30" s="1" t="s">
        <v>281</v>
      </c>
      <c r="H30" s="1">
        <v>6</v>
      </c>
      <c r="I30" s="1" t="s">
        <v>322</v>
      </c>
      <c r="J30" s="2" t="s">
        <v>26</v>
      </c>
      <c r="K30" t="s">
        <v>43</v>
      </c>
      <c r="L30" t="s">
        <v>487</v>
      </c>
      <c r="M30" t="s">
        <v>29</v>
      </c>
      <c r="N30" t="s">
        <v>488</v>
      </c>
      <c r="O30" s="1" t="s">
        <v>232</v>
      </c>
      <c r="P30" s="9"/>
      <c r="Q30" s="10"/>
      <c r="R30" s="11"/>
      <c r="Y30" s="13" t="s">
        <v>431</v>
      </c>
    </row>
    <row r="31" spans="1:25" ht="16" customHeight="1" x14ac:dyDescent="0.2">
      <c r="A31" s="1">
        <v>28</v>
      </c>
      <c r="B31" s="1">
        <v>51.27</v>
      </c>
      <c r="C31" s="1" t="s">
        <v>317</v>
      </c>
      <c r="D31" s="1" t="s">
        <v>318</v>
      </c>
      <c r="E31" s="1"/>
      <c r="F31" s="1" t="s">
        <v>53</v>
      </c>
      <c r="G31" s="1" t="s">
        <v>281</v>
      </c>
      <c r="H31" s="1">
        <v>6</v>
      </c>
      <c r="I31" s="1" t="s">
        <v>319</v>
      </c>
      <c r="J31" s="2" t="s">
        <v>26</v>
      </c>
      <c r="K31" t="s">
        <v>43</v>
      </c>
      <c r="L31" t="s">
        <v>489</v>
      </c>
      <c r="M31" t="s">
        <v>99</v>
      </c>
      <c r="N31" t="s">
        <v>490</v>
      </c>
      <c r="O31" s="1" t="s">
        <v>85</v>
      </c>
      <c r="P31" s="9"/>
      <c r="Q31" s="10"/>
      <c r="R31" s="11"/>
      <c r="Y31" s="13" t="s">
        <v>432</v>
      </c>
    </row>
    <row r="32" spans="1:25" ht="16" customHeight="1" x14ac:dyDescent="0.2">
      <c r="A32" s="1">
        <v>29</v>
      </c>
      <c r="B32" s="1">
        <v>72.58</v>
      </c>
      <c r="C32" s="1" t="s">
        <v>312</v>
      </c>
      <c r="D32" s="1" t="s">
        <v>313</v>
      </c>
      <c r="E32" s="1">
        <v>10257997</v>
      </c>
      <c r="F32" s="1" t="s">
        <v>314</v>
      </c>
      <c r="G32" s="1" t="s">
        <v>281</v>
      </c>
      <c r="H32" s="1">
        <v>6</v>
      </c>
      <c r="I32" s="1" t="s">
        <v>316</v>
      </c>
      <c r="J32" s="2" t="s">
        <v>26</v>
      </c>
      <c r="K32" t="s">
        <v>43</v>
      </c>
      <c r="L32" t="s">
        <v>133</v>
      </c>
      <c r="M32" t="s">
        <v>29</v>
      </c>
      <c r="N32" t="s">
        <v>491</v>
      </c>
      <c r="O32" s="1" t="s">
        <v>315</v>
      </c>
      <c r="P32" s="9"/>
      <c r="Q32" s="10"/>
      <c r="R32" s="11"/>
      <c r="Y32" s="13" t="s">
        <v>433</v>
      </c>
    </row>
    <row r="33" spans="1:25" ht="16" customHeight="1" x14ac:dyDescent="0.2">
      <c r="A33" s="1">
        <v>30</v>
      </c>
      <c r="B33" s="1" t="s">
        <v>31</v>
      </c>
      <c r="C33" s="5" t="s">
        <v>161</v>
      </c>
      <c r="D33" s="1" t="s">
        <v>309</v>
      </c>
      <c r="E33" s="1">
        <v>10262368</v>
      </c>
      <c r="F33" s="1" t="s">
        <v>310</v>
      </c>
      <c r="G33" s="1" t="s">
        <v>281</v>
      </c>
      <c r="H33" s="1">
        <v>6</v>
      </c>
      <c r="I33" s="1" t="s">
        <v>311</v>
      </c>
      <c r="J33" s="2" t="s">
        <v>26</v>
      </c>
      <c r="K33" t="s">
        <v>27</v>
      </c>
      <c r="N33" t="s">
        <v>492</v>
      </c>
      <c r="O33" s="1" t="s">
        <v>193</v>
      </c>
      <c r="P33" s="9"/>
      <c r="Q33" s="10"/>
      <c r="R33" s="11"/>
      <c r="Y33" s="13" t="s">
        <v>434</v>
      </c>
    </row>
    <row r="34" spans="1:25" ht="16" customHeight="1" x14ac:dyDescent="0.2">
      <c r="A34" s="1">
        <v>31</v>
      </c>
      <c r="B34" s="1" t="s">
        <v>31</v>
      </c>
      <c r="C34" s="7" t="s">
        <v>51</v>
      </c>
      <c r="D34" s="1" t="s">
        <v>307</v>
      </c>
      <c r="E34" s="1"/>
      <c r="F34" s="1" t="s">
        <v>84</v>
      </c>
      <c r="G34" s="1" t="s">
        <v>281</v>
      </c>
      <c r="H34" s="1">
        <v>7</v>
      </c>
      <c r="I34" s="1" t="s">
        <v>308</v>
      </c>
      <c r="J34" s="2" t="s">
        <v>26</v>
      </c>
      <c r="K34" t="s">
        <v>27</v>
      </c>
      <c r="N34" t="s">
        <v>493</v>
      </c>
      <c r="O34" s="14" t="s">
        <v>255</v>
      </c>
      <c r="P34" s="9"/>
      <c r="Q34" s="10"/>
      <c r="R34" s="11"/>
      <c r="Y34" s="13" t="s">
        <v>435</v>
      </c>
    </row>
    <row r="35" spans="1:25" ht="16" customHeight="1" x14ac:dyDescent="0.2">
      <c r="A35" s="1">
        <v>32</v>
      </c>
      <c r="B35" s="1" t="s">
        <v>31</v>
      </c>
      <c r="C35" s="5" t="s">
        <v>161</v>
      </c>
      <c r="D35" s="1" t="s">
        <v>303</v>
      </c>
      <c r="E35" s="1"/>
      <c r="F35" s="1" t="s">
        <v>304</v>
      </c>
      <c r="G35" s="1" t="s">
        <v>281</v>
      </c>
      <c r="H35" s="1">
        <v>7</v>
      </c>
      <c r="I35" s="1" t="s">
        <v>306</v>
      </c>
      <c r="J35" s="2" t="s">
        <v>26</v>
      </c>
      <c r="K35" t="s">
        <v>43</v>
      </c>
      <c r="N35" t="s">
        <v>494</v>
      </c>
      <c r="O35" s="14" t="s">
        <v>305</v>
      </c>
      <c r="P35" s="9"/>
      <c r="Q35" s="10"/>
      <c r="R35" s="11"/>
      <c r="Y35" s="13" t="s">
        <v>437</v>
      </c>
    </row>
    <row r="36" spans="1:25" ht="16" customHeight="1" x14ac:dyDescent="0.2">
      <c r="A36" s="1">
        <v>33</v>
      </c>
      <c r="B36" s="1" t="s">
        <v>31</v>
      </c>
      <c r="C36" s="1" t="s">
        <v>283</v>
      </c>
      <c r="D36" s="1" t="s">
        <v>301</v>
      </c>
      <c r="E36" s="1"/>
      <c r="F36" s="1" t="s">
        <v>84</v>
      </c>
      <c r="G36" s="1" t="s">
        <v>281</v>
      </c>
      <c r="H36" s="1">
        <v>8</v>
      </c>
      <c r="I36" s="1" t="s">
        <v>302</v>
      </c>
      <c r="J36" s="2" t="s">
        <v>26</v>
      </c>
      <c r="K36" t="s">
        <v>27</v>
      </c>
      <c r="N36" t="s">
        <v>495</v>
      </c>
      <c r="O36" s="1" t="s">
        <v>244</v>
      </c>
      <c r="P36" s="9"/>
      <c r="Q36" s="10"/>
      <c r="R36" s="11"/>
      <c r="Y36" s="13" t="s">
        <v>436</v>
      </c>
    </row>
    <row r="37" spans="1:25" ht="16" customHeight="1" x14ac:dyDescent="0.2">
      <c r="A37" s="1">
        <v>34</v>
      </c>
      <c r="B37" s="1">
        <v>61.69</v>
      </c>
      <c r="C37" s="1" t="s">
        <v>298</v>
      </c>
      <c r="D37" s="1" t="s">
        <v>299</v>
      </c>
      <c r="E37" s="1"/>
      <c r="F37" s="1" t="s">
        <v>84</v>
      </c>
      <c r="G37" s="1" t="s">
        <v>281</v>
      </c>
      <c r="H37" s="1">
        <v>8</v>
      </c>
      <c r="I37" s="1" t="s">
        <v>300</v>
      </c>
      <c r="J37" s="2" t="s">
        <v>26</v>
      </c>
      <c r="K37" t="s">
        <v>43</v>
      </c>
      <c r="L37" t="s">
        <v>496</v>
      </c>
      <c r="M37" t="s">
        <v>29</v>
      </c>
      <c r="N37" t="s">
        <v>497</v>
      </c>
      <c r="O37" s="1" t="s">
        <v>125</v>
      </c>
      <c r="P37" s="9"/>
      <c r="Q37" s="10"/>
      <c r="R37" s="11"/>
      <c r="Y37" s="13" t="s">
        <v>438</v>
      </c>
    </row>
    <row r="38" spans="1:25" ht="16" customHeight="1" x14ac:dyDescent="0.2">
      <c r="A38" s="1">
        <v>35</v>
      </c>
      <c r="B38" s="1">
        <v>73.28</v>
      </c>
      <c r="C38" s="1" t="s">
        <v>149</v>
      </c>
      <c r="D38" s="1" t="s">
        <v>47</v>
      </c>
      <c r="E38" s="1"/>
      <c r="F38" s="1" t="s">
        <v>22</v>
      </c>
      <c r="G38" s="1" t="s">
        <v>281</v>
      </c>
      <c r="H38" s="1">
        <v>8</v>
      </c>
      <c r="I38" s="1" t="s">
        <v>297</v>
      </c>
      <c r="J38" s="2" t="s">
        <v>26</v>
      </c>
      <c r="K38" t="s">
        <v>27</v>
      </c>
      <c r="L38" t="s">
        <v>446</v>
      </c>
      <c r="M38" t="s">
        <v>36</v>
      </c>
      <c r="N38" t="s">
        <v>498</v>
      </c>
      <c r="O38" s="1" t="s">
        <v>296</v>
      </c>
      <c r="P38" s="9"/>
      <c r="Q38" s="10"/>
      <c r="R38" s="11"/>
      <c r="Y38" s="13" t="s">
        <v>439</v>
      </c>
    </row>
    <row r="39" spans="1:25" ht="16" customHeight="1" x14ac:dyDescent="0.2">
      <c r="A39" s="1">
        <v>36</v>
      </c>
      <c r="B39" s="1" t="s">
        <v>31</v>
      </c>
      <c r="C39" s="1" t="s">
        <v>39</v>
      </c>
      <c r="D39" s="1" t="s">
        <v>293</v>
      </c>
      <c r="E39" s="1"/>
      <c r="F39" s="1" t="s">
        <v>294</v>
      </c>
      <c r="G39" s="1" t="s">
        <v>281</v>
      </c>
      <c r="H39" s="1">
        <v>8</v>
      </c>
      <c r="I39" s="1" t="s">
        <v>103</v>
      </c>
      <c r="J39" s="2" t="s">
        <v>26</v>
      </c>
      <c r="K39" t="s">
        <v>43</v>
      </c>
      <c r="N39" t="s">
        <v>499</v>
      </c>
      <c r="O39" s="1" t="s">
        <v>295</v>
      </c>
      <c r="P39" s="9"/>
      <c r="Q39" s="10"/>
      <c r="R39" s="11"/>
      <c r="Y39" s="13" t="s">
        <v>440</v>
      </c>
    </row>
    <row r="40" spans="1:25" ht="16" customHeight="1" x14ac:dyDescent="0.2">
      <c r="A40" s="1">
        <v>37</v>
      </c>
      <c r="B40" s="1">
        <v>69.680000000000007</v>
      </c>
      <c r="C40" s="1" t="s">
        <v>289</v>
      </c>
      <c r="D40" s="1" t="s">
        <v>290</v>
      </c>
      <c r="E40" s="1">
        <v>10243021</v>
      </c>
      <c r="F40" s="1" t="s">
        <v>53</v>
      </c>
      <c r="G40" s="1" t="s">
        <v>281</v>
      </c>
      <c r="H40" s="1">
        <v>9</v>
      </c>
      <c r="I40" s="1" t="s">
        <v>292</v>
      </c>
      <c r="J40" s="2" t="s">
        <v>26</v>
      </c>
      <c r="K40" t="s">
        <v>43</v>
      </c>
      <c r="L40" t="s">
        <v>500</v>
      </c>
      <c r="M40" t="s">
        <v>29</v>
      </c>
      <c r="N40" t="s">
        <v>501</v>
      </c>
      <c r="O40" s="14" t="s">
        <v>291</v>
      </c>
      <c r="P40" s="9"/>
      <c r="Q40" s="10"/>
      <c r="R40" s="11"/>
      <c r="Y40" s="13" t="s">
        <v>441</v>
      </c>
    </row>
    <row r="41" spans="1:25" ht="16" customHeight="1" x14ac:dyDescent="0.2">
      <c r="A41" s="1">
        <v>38</v>
      </c>
      <c r="B41" s="1">
        <v>52.22</v>
      </c>
      <c r="C41" s="1" t="s">
        <v>285</v>
      </c>
      <c r="D41" s="1" t="s">
        <v>286</v>
      </c>
      <c r="E41" s="1">
        <v>10276169</v>
      </c>
      <c r="F41" s="1" t="s">
        <v>287</v>
      </c>
      <c r="G41" s="1" t="s">
        <v>281</v>
      </c>
      <c r="H41" s="1">
        <v>9</v>
      </c>
      <c r="I41" s="1" t="s">
        <v>288</v>
      </c>
      <c r="J41" s="2" t="s">
        <v>26</v>
      </c>
      <c r="K41" t="s">
        <v>43</v>
      </c>
      <c r="L41" t="s">
        <v>446</v>
      </c>
      <c r="M41" t="s">
        <v>36</v>
      </c>
      <c r="N41" t="s">
        <v>502</v>
      </c>
      <c r="O41" s="14" t="s">
        <v>157</v>
      </c>
      <c r="P41" s="9"/>
      <c r="Q41" s="10"/>
      <c r="R41" s="11"/>
      <c r="Y41" s="13" t="s">
        <v>442</v>
      </c>
    </row>
    <row r="42" spans="1:25" ht="16" customHeight="1" x14ac:dyDescent="0.2">
      <c r="A42" s="1">
        <v>39</v>
      </c>
      <c r="B42" s="1" t="s">
        <v>31</v>
      </c>
      <c r="C42" s="1" t="s">
        <v>283</v>
      </c>
      <c r="D42" s="1" t="s">
        <v>173</v>
      </c>
      <c r="E42" s="1">
        <v>10262517</v>
      </c>
      <c r="F42" s="1" t="s">
        <v>84</v>
      </c>
      <c r="G42" s="1" t="s">
        <v>281</v>
      </c>
      <c r="H42" s="1">
        <v>9</v>
      </c>
      <c r="I42" s="1" t="s">
        <v>284</v>
      </c>
      <c r="J42" s="2" t="s">
        <v>26</v>
      </c>
      <c r="K42" t="s">
        <v>43</v>
      </c>
      <c r="N42" t="s">
        <v>503</v>
      </c>
      <c r="O42" s="14" t="s">
        <v>222</v>
      </c>
      <c r="P42" s="9"/>
      <c r="Q42" s="10"/>
      <c r="R42" s="11"/>
      <c r="Y42" s="13" t="s">
        <v>443</v>
      </c>
    </row>
    <row r="43" spans="1:25" ht="16" customHeight="1" x14ac:dyDescent="0.2">
      <c r="A43" s="1">
        <v>40</v>
      </c>
      <c r="B43" s="1">
        <v>75.91</v>
      </c>
      <c r="C43" s="5" t="s">
        <v>280</v>
      </c>
      <c r="D43" s="1" t="s">
        <v>65</v>
      </c>
      <c r="E43" s="1"/>
      <c r="F43" s="1" t="s">
        <v>59</v>
      </c>
      <c r="G43" s="1" t="s">
        <v>281</v>
      </c>
      <c r="H43" s="1">
        <v>9</v>
      </c>
      <c r="I43" s="1" t="s">
        <v>282</v>
      </c>
      <c r="J43" s="2" t="s">
        <v>26</v>
      </c>
      <c r="K43" t="s">
        <v>43</v>
      </c>
      <c r="L43" t="s">
        <v>446</v>
      </c>
      <c r="M43" t="s">
        <v>36</v>
      </c>
      <c r="N43" t="s">
        <v>504</v>
      </c>
      <c r="O43" s="14" t="s">
        <v>41</v>
      </c>
      <c r="P43" s="9"/>
      <c r="Q43" s="10"/>
      <c r="R43" s="11"/>
      <c r="Y43" s="13" t="s">
        <v>444</v>
      </c>
    </row>
    <row r="44" spans="1:25" ht="16" customHeight="1" x14ac:dyDescent="0.2">
      <c r="P44" s="9"/>
      <c r="Q44" s="10"/>
      <c r="R44" s="11"/>
    </row>
    <row r="45" spans="1:25" ht="16" customHeight="1" x14ac:dyDescent="0.2">
      <c r="Q45" s="10"/>
      <c r="R45" s="11"/>
    </row>
    <row r="46" spans="1:25" ht="16" customHeight="1" x14ac:dyDescent="0.2">
      <c r="Q46" s="10"/>
      <c r="R46" s="11"/>
    </row>
    <row r="47" spans="1:25" ht="16" customHeight="1" x14ac:dyDescent="0.2">
      <c r="Q47" s="10"/>
    </row>
    <row r="48" spans="1:25" ht="16" customHeight="1" x14ac:dyDescent="0.2">
      <c r="Q48" s="10"/>
    </row>
    <row r="49" spans="17:17" ht="16" customHeight="1" x14ac:dyDescent="0.2">
      <c r="Q49" s="10"/>
    </row>
    <row r="50" spans="17:17" ht="16" customHeight="1" x14ac:dyDescent="0.2">
      <c r="Q50" s="12"/>
    </row>
    <row r="51" spans="17:17" ht="16" customHeight="1" x14ac:dyDescent="0.2">
      <c r="Q51" s="12"/>
    </row>
    <row r="52" spans="17:17" ht="16" customHeight="1" x14ac:dyDescent="0.2">
      <c r="Q52" s="12"/>
    </row>
    <row r="53" spans="17:17" ht="16" customHeight="1" x14ac:dyDescent="0.2">
      <c r="Q53" s="12"/>
    </row>
    <row r="54" spans="17:17" ht="16" customHeight="1" x14ac:dyDescent="0.2"/>
    <row r="55" spans="17:17" ht="16" customHeight="1" x14ac:dyDescent="0.2"/>
  </sheetData>
  <sortState xmlns:xlrd2="http://schemas.microsoft.com/office/spreadsheetml/2017/richdata2" ref="A2:L43">
    <sortCondition ref="A2:A43"/>
  </sortState>
  <hyperlinks>
    <hyperlink ref="J43" r:id="rId1" display="https://probullstats.com/loggers/matchup.php?bull=54839&amp;guy=Julio+Cesar+Marques" xr:uid="{7A80C17A-3232-6448-9343-11FC1CD3C297}"/>
    <hyperlink ref="J42" r:id="rId2" display="https://probullstats.com/loggers/matchup.php?bull=56542&amp;guy=Callum+Miller" xr:uid="{0F2BD59E-A00B-4D4B-8A15-FC0C2FCD8520}"/>
    <hyperlink ref="J41" r:id="rId3" display="https://probullstats.com/loggers/matchup.php?bull=54130&amp;guy=Trace+Redd" xr:uid="{F4C2835A-438B-0142-98F5-439B5289E417}"/>
    <hyperlink ref="J40" r:id="rId4" display="https://probullstats.com/loggers/matchup.php?bull=51428&amp;guy=Grayson+Cole" xr:uid="{9F41CA48-CFB7-E246-92DC-10D6692090A4}"/>
    <hyperlink ref="J39" r:id="rId5" display="https://probullstats.com/loggers/matchup.php?bull=56381&amp;guy=Vinicius+Rodrigues+Pereira" xr:uid="{F733F9C0-F92E-DD40-BD82-74810719B425}"/>
    <hyperlink ref="J38" r:id="rId6" display="https://probullstats.com/loggers/matchup.php?bull=55806&amp;guy=Ednelio+Rodrigues" xr:uid="{07DD6F14-EB65-2C4E-A591-3E2C378C2A67}"/>
    <hyperlink ref="J37" r:id="rId7" display="https://probullstats.com/loggers/matchup.php?bull=53419&amp;guy=Mason+Taylor" xr:uid="{864A1DB8-FE2B-5D44-9643-DB818F8A9234}"/>
    <hyperlink ref="J36" r:id="rId8" display="https://probullstats.com/loggers/matchup.php?bull=56047&amp;guy=Dener+Barbosa" xr:uid="{2AB1932A-11A1-7447-80A6-E02A42B49BB9}"/>
    <hyperlink ref="J35" r:id="rId9" display="https://probullstats.com/loggers/matchup.php?bull=55809&amp;guy=Ramon+Fiorini" xr:uid="{03F5EABD-CF18-5E42-A0EA-CD3101D51E6C}"/>
    <hyperlink ref="J34" r:id="rId10" display="https://probullstats.com/loggers/matchup.php?bull=56578&amp;guy=Vinicius+Pinheiro+Correa" xr:uid="{AAF7E716-B51F-5744-80BC-B9D1B3EC32AD}"/>
    <hyperlink ref="J33" r:id="rId11" display="https://probullstats.com/loggers/matchup.php?bull=56236&amp;guy=Macaulie+Leather" xr:uid="{2021287A-E488-FD4C-B27D-94448D0F15C7}"/>
    <hyperlink ref="J32" r:id="rId12" display="https://probullstats.com/loggers/matchup.php?bull=51896&amp;guy=Eric+Novoa" xr:uid="{95300F1E-1D61-B745-8FB1-31564488E65C}"/>
    <hyperlink ref="J31" r:id="rId13" display="https://probullstats.com/loggers/matchup.php?bull=52820&amp;guy=Paulo+Eduardo+Rossetto" xr:uid="{0CEAA190-6ED4-7446-8DB9-0E54B259D446}"/>
    <hyperlink ref="J30" r:id="rId14" display="https://probullstats.com/loggers/matchup.php?bull=50989&amp;guy=Lucas+Divino" xr:uid="{68EFE952-E1A2-2A43-A2D3-BF22A8D7B3E9}"/>
    <hyperlink ref="J29" r:id="rId15" display="https://probullstats.com/loggers/matchup.php?bull=54227&amp;guy=Claudio+Montanha+Jr." xr:uid="{3D5353E0-0288-DF4A-9DAE-4F807BED1D54}"/>
    <hyperlink ref="J28" r:id="rId16" display="https://probullstats.com/loggers/matchup.php?bull=54171&amp;guy=Koltin+Hevalow" xr:uid="{9412B2D9-0C75-C745-978E-773B146B6A20}"/>
    <hyperlink ref="J27" r:id="rId17" display="https://probullstats.com/loggers/matchup.php?bull=51690&amp;guy=Hudson+Bolton" xr:uid="{B6C892CC-6302-014B-A6F4-C3E51780D547}"/>
    <hyperlink ref="J26" r:id="rId18" display="https://probullstats.com/loggers/matchup.php?bull=53018&amp;guy=Keyshawn+Whitehorse" xr:uid="{1B7B6F25-EA93-3547-A6A1-883AFE3B0758}"/>
    <hyperlink ref="J25" r:id="rId19" display="https://probullstats.com/loggers/matchup.php?bull=47941&amp;guy=Brady+Fielder" xr:uid="{F830A1E9-FAD6-9B44-9BDC-71504F789CA3}"/>
    <hyperlink ref="J24" r:id="rId20" display="https://probullstats.com/loggers/matchup.php?bull=53535&amp;guy=John+Crimber" xr:uid="{33956328-C1EF-D149-9DFA-586EB9743B84}"/>
    <hyperlink ref="J23" r:id="rId21" display="https://probullstats.com/loggers/matchup.php?bull=49727&amp;guy=Alex+Junior+da+Silva" xr:uid="{FE35623D-353B-0942-AAFF-E0848495E061}"/>
    <hyperlink ref="J22" r:id="rId22" display="https://probullstats.com/loggers/matchup.php?bull=56540&amp;guy=Luciano+De+Castro" xr:uid="{75E344EB-84EF-E243-BC8E-0F69A94B6B09}"/>
    <hyperlink ref="J21" r:id="rId23" display="https://probullstats.com/loggers/matchup.php?bull=44656&amp;guy=Mauricio+Gulla+Moreira" xr:uid="{C6F7534C-CF8F-014E-A078-46EDB48E4C40}"/>
    <hyperlink ref="J20" r:id="rId24" display="https://probullstats.com/loggers/matchup.php?bull=50380&amp;guy=Andy+Guzman" xr:uid="{021B2B21-CA7E-8D47-8345-68AEA1745A23}"/>
    <hyperlink ref="J19" r:id="rId25" display="https://probullstats.com/loggers/matchup.php?bull=53892&amp;guy=Joao+Ricardo+Vieira" xr:uid="{56F7B948-B1A1-0C48-B431-53B30A3D80A9}"/>
    <hyperlink ref="J18" r:id="rId26" display="https://probullstats.com/loggers/matchup.php?bull=53319&amp;guy=Thiago+Salgado" xr:uid="{0024AC40-1D64-BC45-BE9C-E6AE555C4C55}"/>
    <hyperlink ref="J17" r:id="rId27" display="https://probullstats.com/loggers/matchup.php?bull=48315&amp;guy=Daylon+Swearingen" xr:uid="{C7028F27-5A31-EB46-928F-52A417BEA75F}"/>
    <hyperlink ref="J16" r:id="rId28" display="https://probullstats.com/loggers/matchup.php?bull=54209&amp;guy=Andrew+Alvidrez" xr:uid="{5C697E8D-70AD-F046-AB04-46B464409C3E}"/>
    <hyperlink ref="J15" r:id="rId29" display="https://probullstats.com/loggers/matchup.php?bull=51949&amp;guy=Jess+Lockwood" xr:uid="{A8987CAE-A15F-4F4C-8921-F7BBB52EF782}"/>
    <hyperlink ref="J14" r:id="rId30" display="https://probullstats.com/loggers/matchup.php?bull=56577&amp;guy=Daniel+Keeping" xr:uid="{F416108D-A154-9D43-A6ED-1D1060E32985}"/>
    <hyperlink ref="J13" r:id="rId31" display="https://probullstats.com/loggers/matchup.php?bull=53617&amp;guy=Bob+Mitchell" xr:uid="{93B7C777-B99A-8043-9473-B9BA8A4AF91D}"/>
    <hyperlink ref="J12" r:id="rId32" display="https://probullstats.com/loggers/matchup.php?bull=55454&amp;guy=Romario+Leite" xr:uid="{1D408E4F-3CA9-514F-89EF-F1CDD9720C41}"/>
    <hyperlink ref="J11" r:id="rId33" display="https://probullstats.com/loggers/matchup.php?bull=56214&amp;guy=Alex+Cerqueira" xr:uid="{C8A17F1D-296F-E745-9931-F763D38E0160}"/>
    <hyperlink ref="J10" r:id="rId34" display="https://probullstats.com/loggers/matchup.php?bull=52839&amp;guy=Alan+de+Souza" xr:uid="{92AEEB17-6DB6-E840-B049-1DC988B9269E}"/>
    <hyperlink ref="J9" r:id="rId35" display="https://probullstats.com/loggers/matchup.php?bull=56035&amp;guy=Cassio+Dias" xr:uid="{CBE38BD9-0AED-8B48-AE5C-A82D5055703F}"/>
    <hyperlink ref="J6" r:id="rId36" display="https://probullstats.com/loggers/matchup.php?bull=45633&amp;guy=Marco+Rizzo" xr:uid="{E3412961-8175-8742-B289-193D41E6BF56}"/>
    <hyperlink ref="J5" r:id="rId37" display="https://probullstats.com/loggers/matchup.php?bull=53773&amp;guy=Bruno+Carvalho" xr:uid="{4833B6B6-D785-CD4D-AD7C-80D2611062CB}"/>
    <hyperlink ref="J4" r:id="rId38" display="https://probullstats.com/loggers/matchup.php?bull=52929&amp;guy=Kase+Hitt" xr:uid="{7AC8DC2D-E077-B34C-A679-937E544383EF}"/>
    <hyperlink ref="J3" r:id="rId39" display="https://probullstats.com/loggers/matchup.php?bull=47126&amp;guy=Manoelito+de+Souza+Junior" xr:uid="{2DA167E7-8DE1-2141-B5ED-4F0001AD28D1}"/>
    <hyperlink ref="J2" r:id="rId40" display="https://probullstats.com/loggers/matchup.php?bull=51996&amp;guy=Eduardo+Aparecido" xr:uid="{E556DB4A-323A-8448-8888-A75F07F470C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88787-F410-204A-8FD8-EC4B8315D133}">
  <dimension ref="A1:T44"/>
  <sheetViews>
    <sheetView zoomScale="140" zoomScaleNormal="140" workbookViewId="0">
      <selection sqref="A1:T1"/>
    </sheetView>
  </sheetViews>
  <sheetFormatPr baseColWidth="10" defaultRowHeight="16" x14ac:dyDescent="0.2"/>
  <cols>
    <col min="15" max="15" width="17.1640625" customWidth="1"/>
    <col min="16" max="16" width="10.83203125" style="9"/>
    <col min="17" max="17" width="10.83203125" style="10"/>
    <col min="18" max="18" width="10.83203125" style="11"/>
  </cols>
  <sheetData>
    <row r="1" spans="1:20" x14ac:dyDescent="0.2">
      <c r="A1" t="s">
        <v>3</v>
      </c>
      <c r="B1" t="s">
        <v>0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11</v>
      </c>
      <c r="J1" t="s">
        <v>12</v>
      </c>
      <c r="K1" t="s">
        <v>13</v>
      </c>
      <c r="L1" t="s">
        <v>1</v>
      </c>
      <c r="M1" t="s">
        <v>14</v>
      </c>
      <c r="N1" t="s">
        <v>15</v>
      </c>
      <c r="O1" t="s">
        <v>10</v>
      </c>
      <c r="P1" s="9" t="s">
        <v>16</v>
      </c>
      <c r="Q1" s="10" t="s">
        <v>17</v>
      </c>
      <c r="R1" s="11" t="s">
        <v>2</v>
      </c>
      <c r="S1" t="s">
        <v>18</v>
      </c>
      <c r="T1" t="s">
        <v>19</v>
      </c>
    </row>
    <row r="2" spans="1:20" ht="16" customHeight="1" x14ac:dyDescent="0.2">
      <c r="A2">
        <v>1</v>
      </c>
      <c r="B2" s="1">
        <v>73.25</v>
      </c>
      <c r="C2" s="1" t="s">
        <v>20</v>
      </c>
      <c r="D2" s="1" t="s">
        <v>21</v>
      </c>
      <c r="E2" s="1">
        <v>10229185</v>
      </c>
      <c r="F2" s="1" t="s">
        <v>22</v>
      </c>
      <c r="G2" s="1" t="s">
        <v>23</v>
      </c>
      <c r="H2" s="1">
        <v>1</v>
      </c>
      <c r="I2" s="1" t="s">
        <v>25</v>
      </c>
      <c r="J2" s="2" t="s">
        <v>26</v>
      </c>
      <c r="K2" s="3" t="s">
        <v>27</v>
      </c>
      <c r="L2" s="3" t="s">
        <v>28</v>
      </c>
      <c r="M2" s="3" t="s">
        <v>29</v>
      </c>
      <c r="N2" s="4" t="s">
        <v>30</v>
      </c>
      <c r="O2" s="1" t="s">
        <v>24</v>
      </c>
      <c r="P2" s="9">
        <v>43.1</v>
      </c>
      <c r="Q2" s="10">
        <f>IF(OR(P2="",R2=""),0,R2-P2)</f>
        <v>45.35</v>
      </c>
      <c r="R2" s="11">
        <v>88.45</v>
      </c>
      <c r="T2" t="s">
        <v>19</v>
      </c>
    </row>
    <row r="3" spans="1:20" ht="16" customHeight="1" x14ac:dyDescent="0.2">
      <c r="A3">
        <v>2</v>
      </c>
      <c r="B3" s="1" t="s">
        <v>31</v>
      </c>
      <c r="C3" s="5" t="s">
        <v>32</v>
      </c>
      <c r="D3" s="1" t="s">
        <v>33</v>
      </c>
      <c r="E3" s="1">
        <v>10250898</v>
      </c>
      <c r="F3" s="1" t="s">
        <v>22</v>
      </c>
      <c r="G3" s="1" t="s">
        <v>23</v>
      </c>
      <c r="H3" s="1">
        <v>1</v>
      </c>
      <c r="I3" s="1" t="s">
        <v>35</v>
      </c>
      <c r="J3" s="2" t="s">
        <v>26</v>
      </c>
      <c r="K3" s="3" t="s">
        <v>27</v>
      </c>
      <c r="L3" s="6"/>
      <c r="M3" s="3" t="s">
        <v>36</v>
      </c>
      <c r="N3" s="3" t="s">
        <v>37</v>
      </c>
      <c r="O3" s="1" t="s">
        <v>34</v>
      </c>
      <c r="P3" s="9">
        <v>42.7</v>
      </c>
      <c r="Q3" s="10">
        <v>0</v>
      </c>
      <c r="R3" s="11">
        <v>0</v>
      </c>
      <c r="T3" t="s">
        <v>38</v>
      </c>
    </row>
    <row r="4" spans="1:20" ht="16" customHeight="1" x14ac:dyDescent="0.2">
      <c r="A4">
        <v>3</v>
      </c>
      <c r="B4" s="1" t="s">
        <v>31</v>
      </c>
      <c r="C4" s="1" t="s">
        <v>39</v>
      </c>
      <c r="D4" s="1" t="s">
        <v>40</v>
      </c>
      <c r="E4" s="1"/>
      <c r="F4" s="1" t="s">
        <v>22</v>
      </c>
      <c r="G4" s="1" t="s">
        <v>23</v>
      </c>
      <c r="H4" s="1">
        <v>1</v>
      </c>
      <c r="I4" s="1" t="s">
        <v>42</v>
      </c>
      <c r="J4" s="2" t="s">
        <v>26</v>
      </c>
      <c r="K4" s="3" t="s">
        <v>43</v>
      </c>
      <c r="L4" s="6"/>
      <c r="M4" s="3" t="s">
        <v>36</v>
      </c>
      <c r="N4" s="3" t="s">
        <v>44</v>
      </c>
      <c r="O4" s="1" t="s">
        <v>41</v>
      </c>
      <c r="P4" s="9">
        <v>41.7</v>
      </c>
      <c r="Q4" s="10">
        <f t="shared" ref="Q4:Q44" ca="1" si="0">IF(OR(P4="",R4=""),0,R4-P4)</f>
        <v>45.4</v>
      </c>
      <c r="R4" s="11">
        <f ca="1">P4+Q4</f>
        <v>83.15</v>
      </c>
      <c r="T4" t="s">
        <v>45</v>
      </c>
    </row>
    <row r="5" spans="1:20" ht="16" customHeight="1" x14ac:dyDescent="0.2">
      <c r="A5">
        <v>4</v>
      </c>
      <c r="B5" s="1" t="s">
        <v>31</v>
      </c>
      <c r="C5" s="1" t="s">
        <v>46</v>
      </c>
      <c r="D5" s="1" t="s">
        <v>47</v>
      </c>
      <c r="E5" s="1"/>
      <c r="F5" s="1" t="s">
        <v>22</v>
      </c>
      <c r="G5" s="1" t="s">
        <v>23</v>
      </c>
      <c r="H5" s="1">
        <v>1</v>
      </c>
      <c r="I5" s="1" t="s">
        <v>49</v>
      </c>
      <c r="J5" s="2" t="s">
        <v>26</v>
      </c>
      <c r="K5" s="3" t="s">
        <v>43</v>
      </c>
      <c r="L5" s="6"/>
      <c r="M5" s="3" t="s">
        <v>36</v>
      </c>
      <c r="N5" s="3" t="s">
        <v>50</v>
      </c>
      <c r="O5" s="1" t="s">
        <v>48</v>
      </c>
      <c r="P5" s="9">
        <v>44.2</v>
      </c>
      <c r="Q5" s="10">
        <v>0</v>
      </c>
      <c r="R5" s="11">
        <v>0</v>
      </c>
      <c r="T5" t="s">
        <v>45</v>
      </c>
    </row>
    <row r="6" spans="1:20" ht="16" customHeight="1" x14ac:dyDescent="0.2">
      <c r="A6">
        <v>5</v>
      </c>
      <c r="B6" s="1" t="s">
        <v>31</v>
      </c>
      <c r="C6" s="7" t="s">
        <v>51</v>
      </c>
      <c r="D6" s="1" t="s">
        <v>52</v>
      </c>
      <c r="E6" s="1"/>
      <c r="F6" s="1" t="s">
        <v>53</v>
      </c>
      <c r="G6" s="1" t="s">
        <v>23</v>
      </c>
      <c r="H6" s="1">
        <v>1</v>
      </c>
      <c r="I6" s="1" t="s">
        <v>55</v>
      </c>
      <c r="J6" s="2" t="s">
        <v>26</v>
      </c>
      <c r="K6" s="3" t="s">
        <v>27</v>
      </c>
      <c r="L6" s="6"/>
      <c r="M6" s="3" t="s">
        <v>36</v>
      </c>
      <c r="N6" s="3" t="s">
        <v>56</v>
      </c>
      <c r="O6" s="1" t="s">
        <v>54</v>
      </c>
      <c r="P6" s="9">
        <v>44.2</v>
      </c>
      <c r="Q6" s="10">
        <v>0</v>
      </c>
      <c r="R6" s="11">
        <v>0</v>
      </c>
      <c r="T6" t="s">
        <v>38</v>
      </c>
    </row>
    <row r="7" spans="1:20" ht="16" customHeight="1" x14ac:dyDescent="0.2">
      <c r="A7">
        <v>6</v>
      </c>
      <c r="B7" s="1">
        <v>67.349999999999994</v>
      </c>
      <c r="C7" s="1" t="s">
        <v>57</v>
      </c>
      <c r="D7" s="1" t="s">
        <v>58</v>
      </c>
      <c r="E7" s="1"/>
      <c r="F7" s="1" t="s">
        <v>59</v>
      </c>
      <c r="G7" s="1" t="s">
        <v>23</v>
      </c>
      <c r="H7" s="1">
        <v>1</v>
      </c>
      <c r="I7" s="1" t="s">
        <v>61</v>
      </c>
      <c r="J7" s="2" t="s">
        <v>26</v>
      </c>
      <c r="K7" s="3" t="s">
        <v>27</v>
      </c>
      <c r="L7" s="3" t="s">
        <v>62</v>
      </c>
      <c r="M7" s="3" t="s">
        <v>29</v>
      </c>
      <c r="N7" s="3" t="s">
        <v>63</v>
      </c>
      <c r="O7" s="1" t="s">
        <v>60</v>
      </c>
      <c r="P7" s="9">
        <v>41.1</v>
      </c>
      <c r="Q7" s="10">
        <v>83.85</v>
      </c>
      <c r="R7" s="11">
        <v>83.85</v>
      </c>
      <c r="T7" t="s">
        <v>19</v>
      </c>
    </row>
    <row r="8" spans="1:20" ht="16" customHeight="1" x14ac:dyDescent="0.2">
      <c r="A8">
        <v>7</v>
      </c>
      <c r="B8" s="1">
        <v>74.319999999999993</v>
      </c>
      <c r="C8" s="5" t="s">
        <v>64</v>
      </c>
      <c r="D8" s="1" t="s">
        <v>65</v>
      </c>
      <c r="E8" s="1"/>
      <c r="F8" s="1" t="s">
        <v>59</v>
      </c>
      <c r="G8" s="1" t="s">
        <v>23</v>
      </c>
      <c r="H8" s="1">
        <v>2</v>
      </c>
      <c r="I8" s="1" t="s">
        <v>67</v>
      </c>
      <c r="J8" s="2" t="s">
        <v>26</v>
      </c>
      <c r="K8" s="3" t="s">
        <v>43</v>
      </c>
      <c r="L8" s="3"/>
      <c r="M8" s="3" t="s">
        <v>36</v>
      </c>
      <c r="N8" s="3" t="s">
        <v>68</v>
      </c>
      <c r="O8" s="1" t="s">
        <v>66</v>
      </c>
      <c r="P8" s="9">
        <v>44.15</v>
      </c>
      <c r="Q8" s="10">
        <v>0</v>
      </c>
      <c r="R8" s="11">
        <f t="shared" ref="R8:R9" si="1">P8+Q8</f>
        <v>44.15</v>
      </c>
      <c r="T8" t="s">
        <v>45</v>
      </c>
    </row>
    <row r="9" spans="1:20" ht="16" customHeight="1" x14ac:dyDescent="0.2">
      <c r="A9">
        <v>8</v>
      </c>
      <c r="B9" s="1">
        <v>67.02</v>
      </c>
      <c r="C9" s="1" t="s">
        <v>69</v>
      </c>
      <c r="D9" s="1" t="s">
        <v>70</v>
      </c>
      <c r="E9" s="1"/>
      <c r="F9" s="1" t="s">
        <v>71</v>
      </c>
      <c r="G9" s="1" t="s">
        <v>23</v>
      </c>
      <c r="H9" s="1">
        <v>2</v>
      </c>
      <c r="I9" s="1" t="s">
        <v>73</v>
      </c>
      <c r="J9" s="2" t="s">
        <v>26</v>
      </c>
      <c r="K9" s="3" t="s">
        <v>27</v>
      </c>
      <c r="L9" s="3" t="s">
        <v>74</v>
      </c>
      <c r="M9" s="3" t="s">
        <v>29</v>
      </c>
      <c r="N9" s="3" t="s">
        <v>75</v>
      </c>
      <c r="O9" s="1" t="s">
        <v>72</v>
      </c>
      <c r="P9" s="9">
        <v>42.9</v>
      </c>
      <c r="Q9" s="10">
        <v>0</v>
      </c>
      <c r="R9" s="11">
        <f t="shared" si="1"/>
        <v>42.9</v>
      </c>
      <c r="T9" t="s">
        <v>45</v>
      </c>
    </row>
    <row r="10" spans="1:20" ht="16" customHeight="1" x14ac:dyDescent="0.2">
      <c r="A10">
        <v>9</v>
      </c>
      <c r="B10" s="1">
        <v>72.430000000000007</v>
      </c>
      <c r="C10" s="1" t="s">
        <v>76</v>
      </c>
      <c r="D10" s="1" t="s">
        <v>77</v>
      </c>
      <c r="E10" s="1"/>
      <c r="F10" s="1" t="s">
        <v>71</v>
      </c>
      <c r="G10" s="1" t="s">
        <v>23</v>
      </c>
      <c r="H10" s="1">
        <v>2</v>
      </c>
      <c r="I10" s="1" t="s">
        <v>79</v>
      </c>
      <c r="J10" s="2" t="s">
        <v>26</v>
      </c>
      <c r="K10" s="3" t="s">
        <v>27</v>
      </c>
      <c r="L10" s="3" t="s">
        <v>80</v>
      </c>
      <c r="M10" s="3" t="s">
        <v>29</v>
      </c>
      <c r="N10" s="3" t="s">
        <v>81</v>
      </c>
      <c r="O10" s="1" t="s">
        <v>78</v>
      </c>
      <c r="P10" s="9">
        <v>0</v>
      </c>
      <c r="Q10" s="10">
        <v>0</v>
      </c>
      <c r="R10" s="11">
        <v>0</v>
      </c>
      <c r="T10" t="s">
        <v>19</v>
      </c>
    </row>
    <row r="11" spans="1:20" ht="16" customHeight="1" x14ac:dyDescent="0.2">
      <c r="A11">
        <v>10</v>
      </c>
      <c r="B11" s="1" t="s">
        <v>31</v>
      </c>
      <c r="C11" s="1" t="s">
        <v>82</v>
      </c>
      <c r="D11" s="1" t="s">
        <v>83</v>
      </c>
      <c r="E11" s="1"/>
      <c r="F11" s="1" t="s">
        <v>84</v>
      </c>
      <c r="G11" s="1" t="s">
        <v>23</v>
      </c>
      <c r="H11" s="1">
        <v>2</v>
      </c>
      <c r="I11" s="1" t="s">
        <v>86</v>
      </c>
      <c r="J11" s="2" t="s">
        <v>26</v>
      </c>
      <c r="K11" s="3" t="s">
        <v>43</v>
      </c>
      <c r="L11" s="6"/>
      <c r="M11" s="3" t="s">
        <v>36</v>
      </c>
      <c r="N11" s="3" t="s">
        <v>87</v>
      </c>
      <c r="O11" s="1" t="s">
        <v>85</v>
      </c>
      <c r="P11" s="9">
        <v>43.55</v>
      </c>
      <c r="Q11" s="10">
        <f t="shared" si="0"/>
        <v>45.960000000000008</v>
      </c>
      <c r="R11" s="11">
        <v>89.51</v>
      </c>
      <c r="T11" t="s">
        <v>45</v>
      </c>
    </row>
    <row r="12" spans="1:20" ht="16" customHeight="1" x14ac:dyDescent="0.2">
      <c r="A12">
        <v>11</v>
      </c>
      <c r="B12" s="1">
        <v>41.22</v>
      </c>
      <c r="C12" s="1" t="s">
        <v>88</v>
      </c>
      <c r="D12" s="1" t="s">
        <v>89</v>
      </c>
      <c r="E12" s="1">
        <v>10266759</v>
      </c>
      <c r="F12" s="1" t="s">
        <v>71</v>
      </c>
      <c r="G12" s="1" t="s">
        <v>23</v>
      </c>
      <c r="H12" s="1">
        <v>2</v>
      </c>
      <c r="I12" s="1" t="s">
        <v>91</v>
      </c>
      <c r="J12" s="2" t="s">
        <v>26</v>
      </c>
      <c r="K12" s="3" t="s">
        <v>27</v>
      </c>
      <c r="L12" s="3"/>
      <c r="M12" s="3" t="s">
        <v>36</v>
      </c>
      <c r="N12" s="3" t="s">
        <v>92</v>
      </c>
      <c r="O12" s="1" t="s">
        <v>90</v>
      </c>
      <c r="P12" s="9" t="s">
        <v>274</v>
      </c>
      <c r="Q12" s="10" t="s">
        <v>274</v>
      </c>
      <c r="R12" s="11" t="s">
        <v>274</v>
      </c>
      <c r="T12" t="s">
        <v>19</v>
      </c>
    </row>
    <row r="13" spans="1:20" ht="16" customHeight="1" x14ac:dyDescent="0.2">
      <c r="A13">
        <v>12</v>
      </c>
      <c r="B13" s="1">
        <v>78.040000000000006</v>
      </c>
      <c r="C13" s="1" t="s">
        <v>93</v>
      </c>
      <c r="D13" s="1" t="s">
        <v>94</v>
      </c>
      <c r="E13" s="1">
        <v>10231236</v>
      </c>
      <c r="F13" s="1" t="s">
        <v>95</v>
      </c>
      <c r="G13" s="1" t="s">
        <v>23</v>
      </c>
      <c r="H13" s="1">
        <v>2</v>
      </c>
      <c r="I13" s="1" t="s">
        <v>97</v>
      </c>
      <c r="J13" s="2" t="s">
        <v>26</v>
      </c>
      <c r="K13" s="3" t="s">
        <v>27</v>
      </c>
      <c r="L13" s="3" t="s">
        <v>98</v>
      </c>
      <c r="M13" s="3" t="s">
        <v>99</v>
      </c>
      <c r="N13" s="3" t="s">
        <v>100</v>
      </c>
      <c r="O13" s="1" t="s">
        <v>96</v>
      </c>
      <c r="P13" s="9">
        <v>43.15</v>
      </c>
      <c r="Q13" s="10">
        <f t="shared" si="0"/>
        <v>43.000000000000007</v>
      </c>
      <c r="R13" s="11">
        <v>86.15</v>
      </c>
      <c r="T13" t="s">
        <v>45</v>
      </c>
    </row>
    <row r="14" spans="1:20" ht="16" customHeight="1" x14ac:dyDescent="0.2">
      <c r="A14">
        <v>13</v>
      </c>
      <c r="B14" s="1" t="s">
        <v>31</v>
      </c>
      <c r="C14" s="5" t="s">
        <v>32</v>
      </c>
      <c r="D14" s="1" t="s">
        <v>101</v>
      </c>
      <c r="E14" s="1">
        <v>10259466</v>
      </c>
      <c r="F14" s="1" t="s">
        <v>53</v>
      </c>
      <c r="G14" s="1" t="s">
        <v>23</v>
      </c>
      <c r="H14" s="1">
        <v>3</v>
      </c>
      <c r="I14" s="1" t="s">
        <v>103</v>
      </c>
      <c r="J14" s="2" t="s">
        <v>26</v>
      </c>
      <c r="K14" s="3" t="s">
        <v>43</v>
      </c>
      <c r="L14" s="6"/>
      <c r="M14" s="3" t="s">
        <v>36</v>
      </c>
      <c r="N14" s="3" t="s">
        <v>104</v>
      </c>
      <c r="O14" s="1" t="s">
        <v>102</v>
      </c>
      <c r="P14" s="9">
        <v>43.05</v>
      </c>
      <c r="Q14" s="10">
        <v>0</v>
      </c>
      <c r="R14" s="11">
        <v>0</v>
      </c>
      <c r="T14" t="s">
        <v>45</v>
      </c>
    </row>
    <row r="15" spans="1:20" ht="16" customHeight="1" x14ac:dyDescent="0.2">
      <c r="A15">
        <v>14</v>
      </c>
      <c r="B15" s="1">
        <v>59.91</v>
      </c>
      <c r="C15" s="1" t="s">
        <v>105</v>
      </c>
      <c r="D15" s="1" t="s">
        <v>106</v>
      </c>
      <c r="E15" s="1"/>
      <c r="F15" s="1" t="s">
        <v>107</v>
      </c>
      <c r="G15" s="1" t="s">
        <v>23</v>
      </c>
      <c r="H15" s="1">
        <v>3</v>
      </c>
      <c r="I15" s="1" t="s">
        <v>109</v>
      </c>
      <c r="J15" s="2" t="s">
        <v>26</v>
      </c>
      <c r="K15" s="3" t="s">
        <v>27</v>
      </c>
      <c r="L15" s="3" t="s">
        <v>110</v>
      </c>
      <c r="M15" s="3" t="s">
        <v>99</v>
      </c>
      <c r="N15" s="3" t="s">
        <v>111</v>
      </c>
      <c r="O15" s="1" t="s">
        <v>108</v>
      </c>
      <c r="P15" s="9">
        <v>42.5</v>
      </c>
      <c r="Q15" s="10">
        <f t="shared" si="0"/>
        <v>45.5</v>
      </c>
      <c r="R15" s="11">
        <v>88</v>
      </c>
      <c r="T15" t="s">
        <v>45</v>
      </c>
    </row>
    <row r="16" spans="1:20" ht="16" customHeight="1" x14ac:dyDescent="0.2">
      <c r="A16">
        <v>15</v>
      </c>
      <c r="B16" s="1">
        <v>71.7</v>
      </c>
      <c r="C16" s="1" t="s">
        <v>112</v>
      </c>
      <c r="D16" s="1" t="s">
        <v>113</v>
      </c>
      <c r="E16" s="1">
        <v>10257887</v>
      </c>
      <c r="F16" s="1" t="s">
        <v>95</v>
      </c>
      <c r="G16" s="1" t="s">
        <v>23</v>
      </c>
      <c r="H16" s="1">
        <v>3</v>
      </c>
      <c r="I16" s="1" t="s">
        <v>115</v>
      </c>
      <c r="J16" s="2" t="s">
        <v>26</v>
      </c>
      <c r="K16" s="3" t="s">
        <v>43</v>
      </c>
      <c r="L16" s="3"/>
      <c r="M16" s="3" t="s">
        <v>36</v>
      </c>
      <c r="N16" s="3" t="s">
        <v>116</v>
      </c>
      <c r="O16" s="1" t="s">
        <v>114</v>
      </c>
      <c r="P16" s="9" t="s">
        <v>274</v>
      </c>
      <c r="Q16" s="10" t="s">
        <v>274</v>
      </c>
      <c r="R16" s="11" t="s">
        <v>274</v>
      </c>
      <c r="S16" t="s">
        <v>270</v>
      </c>
      <c r="T16" t="s">
        <v>45</v>
      </c>
    </row>
    <row r="17" spans="1:20" ht="16" customHeight="1" x14ac:dyDescent="0.2">
      <c r="A17">
        <v>16</v>
      </c>
      <c r="B17" s="1">
        <v>77.53</v>
      </c>
      <c r="C17" s="5" t="s">
        <v>117</v>
      </c>
      <c r="D17" s="1" t="s">
        <v>118</v>
      </c>
      <c r="E17" s="1"/>
      <c r="F17" s="1" t="s">
        <v>119</v>
      </c>
      <c r="G17" s="1" t="s">
        <v>23</v>
      </c>
      <c r="H17" s="1">
        <v>3</v>
      </c>
      <c r="I17" s="1" t="s">
        <v>121</v>
      </c>
      <c r="J17" s="2" t="s">
        <v>26</v>
      </c>
      <c r="K17" s="3" t="s">
        <v>27</v>
      </c>
      <c r="L17" s="3"/>
      <c r="M17" s="3" t="s">
        <v>36</v>
      </c>
      <c r="N17" s="3" t="s">
        <v>122</v>
      </c>
      <c r="O17" s="1" t="s">
        <v>120</v>
      </c>
      <c r="P17" s="9">
        <v>34.4</v>
      </c>
      <c r="Q17" s="10">
        <f t="shared" si="0"/>
        <v>-34.4</v>
      </c>
      <c r="R17" s="11">
        <v>0</v>
      </c>
      <c r="T17" t="s">
        <v>38</v>
      </c>
    </row>
    <row r="18" spans="1:20" ht="16" customHeight="1" x14ac:dyDescent="0.2">
      <c r="A18">
        <v>17</v>
      </c>
      <c r="B18" s="1">
        <v>69.67</v>
      </c>
      <c r="C18" s="1" t="s">
        <v>123</v>
      </c>
      <c r="D18" s="1" t="s">
        <v>124</v>
      </c>
      <c r="E18" s="1"/>
      <c r="F18" s="1" t="s">
        <v>119</v>
      </c>
      <c r="G18" s="1" t="s">
        <v>23</v>
      </c>
      <c r="H18" s="1">
        <v>3</v>
      </c>
      <c r="I18" s="1" t="s">
        <v>126</v>
      </c>
      <c r="J18" s="2" t="s">
        <v>26</v>
      </c>
      <c r="K18" s="3" t="s">
        <v>43</v>
      </c>
      <c r="L18" s="3" t="s">
        <v>127</v>
      </c>
      <c r="M18" s="3" t="s">
        <v>29</v>
      </c>
      <c r="N18" s="3" t="s">
        <v>128</v>
      </c>
      <c r="O18" s="1" t="s">
        <v>125</v>
      </c>
      <c r="P18" s="9">
        <v>43.85</v>
      </c>
      <c r="Q18" s="10">
        <f t="shared" si="0"/>
        <v>-43.85</v>
      </c>
      <c r="R18" s="11">
        <v>0</v>
      </c>
      <c r="T18" t="s">
        <v>45</v>
      </c>
    </row>
    <row r="19" spans="1:20" ht="16" customHeight="1" x14ac:dyDescent="0.2">
      <c r="A19">
        <v>18</v>
      </c>
      <c r="B19" s="1">
        <v>77.599999999999994</v>
      </c>
      <c r="C19" s="1" t="s">
        <v>129</v>
      </c>
      <c r="D19" s="1" t="s">
        <v>130</v>
      </c>
      <c r="E19" s="1"/>
      <c r="F19" s="1" t="s">
        <v>119</v>
      </c>
      <c r="G19" s="1" t="s">
        <v>23</v>
      </c>
      <c r="H19" s="1">
        <v>3</v>
      </c>
      <c r="I19" s="1" t="s">
        <v>132</v>
      </c>
      <c r="J19" s="2" t="s">
        <v>26</v>
      </c>
      <c r="K19" s="3" t="s">
        <v>43</v>
      </c>
      <c r="L19" s="3" t="s">
        <v>133</v>
      </c>
      <c r="M19" s="3" t="s">
        <v>29</v>
      </c>
      <c r="N19" s="3" t="s">
        <v>134</v>
      </c>
      <c r="O19" s="1" t="s">
        <v>131</v>
      </c>
      <c r="P19" s="9" t="s">
        <v>272</v>
      </c>
      <c r="Q19" s="10" t="s">
        <v>272</v>
      </c>
      <c r="R19" s="11" t="s">
        <v>272</v>
      </c>
      <c r="S19" t="s">
        <v>271</v>
      </c>
      <c r="T19" t="s">
        <v>38</v>
      </c>
    </row>
    <row r="20" spans="1:20" ht="16" customHeight="1" x14ac:dyDescent="0.2">
      <c r="A20">
        <v>19</v>
      </c>
      <c r="B20" s="1" t="s">
        <v>31</v>
      </c>
      <c r="C20" s="7" t="s">
        <v>51</v>
      </c>
      <c r="D20" s="1" t="s">
        <v>135</v>
      </c>
      <c r="E20" s="1"/>
      <c r="F20" s="1" t="s">
        <v>95</v>
      </c>
      <c r="G20" s="1" t="s">
        <v>23</v>
      </c>
      <c r="H20" s="1">
        <v>4</v>
      </c>
      <c r="I20" s="1" t="s">
        <v>137</v>
      </c>
      <c r="J20" s="2" t="s">
        <v>26</v>
      </c>
      <c r="K20" s="3" t="s">
        <v>27</v>
      </c>
      <c r="L20" s="6"/>
      <c r="M20" s="3" t="s">
        <v>36</v>
      </c>
      <c r="N20" s="3" t="s">
        <v>138</v>
      </c>
      <c r="O20" s="1" t="s">
        <v>136</v>
      </c>
      <c r="P20" s="9">
        <v>43.1</v>
      </c>
      <c r="Q20" s="10">
        <f t="shared" si="0"/>
        <v>-43.1</v>
      </c>
      <c r="R20" s="11">
        <v>0</v>
      </c>
      <c r="T20" t="s">
        <v>19</v>
      </c>
    </row>
    <row r="21" spans="1:20" ht="16" customHeight="1" x14ac:dyDescent="0.2">
      <c r="A21">
        <v>20</v>
      </c>
      <c r="B21" s="1" t="s">
        <v>31</v>
      </c>
      <c r="C21" s="1" t="s">
        <v>139</v>
      </c>
      <c r="D21" s="1" t="s">
        <v>140</v>
      </c>
      <c r="E21" s="1">
        <v>10259151</v>
      </c>
      <c r="F21" s="1" t="s">
        <v>84</v>
      </c>
      <c r="G21" s="1" t="s">
        <v>23</v>
      </c>
      <c r="H21" s="1">
        <v>4</v>
      </c>
      <c r="I21" s="1" t="s">
        <v>142</v>
      </c>
      <c r="J21" s="2" t="s">
        <v>26</v>
      </c>
      <c r="K21" s="3" t="s">
        <v>43</v>
      </c>
      <c r="L21" s="6"/>
      <c r="M21" s="3" t="s">
        <v>36</v>
      </c>
      <c r="N21" s="3" t="s">
        <v>143</v>
      </c>
      <c r="O21" s="1" t="s">
        <v>141</v>
      </c>
      <c r="P21" s="9">
        <v>42.85</v>
      </c>
      <c r="Q21" s="10">
        <f t="shared" si="0"/>
        <v>42.15</v>
      </c>
      <c r="R21" s="11">
        <v>85</v>
      </c>
      <c r="S21" t="s">
        <v>273</v>
      </c>
      <c r="T21" t="s">
        <v>19</v>
      </c>
    </row>
    <row r="22" spans="1:20" ht="16" customHeight="1" x14ac:dyDescent="0.2">
      <c r="A22">
        <v>21</v>
      </c>
      <c r="B22" s="1" t="s">
        <v>31</v>
      </c>
      <c r="C22" s="1" t="s">
        <v>144</v>
      </c>
      <c r="D22" s="1" t="s">
        <v>145</v>
      </c>
      <c r="E22" s="1"/>
      <c r="F22" s="1" t="s">
        <v>95</v>
      </c>
      <c r="G22" s="1" t="s">
        <v>23</v>
      </c>
      <c r="H22" s="1">
        <v>4</v>
      </c>
      <c r="I22" s="1" t="s">
        <v>147</v>
      </c>
      <c r="J22" s="2" t="s">
        <v>26</v>
      </c>
      <c r="K22" s="3" t="s">
        <v>43</v>
      </c>
      <c r="L22" s="6"/>
      <c r="M22" s="3" t="s">
        <v>36</v>
      </c>
      <c r="N22" s="3" t="s">
        <v>148</v>
      </c>
      <c r="O22" s="1" t="s">
        <v>146</v>
      </c>
      <c r="P22" s="9">
        <v>42.8</v>
      </c>
      <c r="Q22" s="10">
        <f t="shared" si="0"/>
        <v>45.5</v>
      </c>
      <c r="R22" s="11">
        <v>88.3</v>
      </c>
      <c r="T22" t="s">
        <v>19</v>
      </c>
    </row>
    <row r="23" spans="1:20" ht="16" customHeight="1" x14ac:dyDescent="0.2">
      <c r="A23">
        <v>22</v>
      </c>
      <c r="B23" s="1">
        <v>64.7</v>
      </c>
      <c r="C23" s="1" t="s">
        <v>149</v>
      </c>
      <c r="D23" s="1" t="s">
        <v>150</v>
      </c>
      <c r="E23" s="1">
        <v>10269156</v>
      </c>
      <c r="F23" s="1" t="s">
        <v>84</v>
      </c>
      <c r="G23" s="1" t="s">
        <v>23</v>
      </c>
      <c r="H23" s="1">
        <v>4</v>
      </c>
      <c r="I23" s="1" t="s">
        <v>152</v>
      </c>
      <c r="J23" s="2" t="s">
        <v>26</v>
      </c>
      <c r="K23" s="3" t="s">
        <v>43</v>
      </c>
      <c r="L23" s="3"/>
      <c r="M23" s="3" t="s">
        <v>36</v>
      </c>
      <c r="N23" s="3" t="s">
        <v>153</v>
      </c>
      <c r="O23" s="1" t="s">
        <v>151</v>
      </c>
      <c r="P23" s="9">
        <v>43.95</v>
      </c>
      <c r="Q23" s="10">
        <f t="shared" si="0"/>
        <v>44.599999999999994</v>
      </c>
      <c r="R23" s="11">
        <v>88.55</v>
      </c>
      <c r="T23" t="s">
        <v>19</v>
      </c>
    </row>
    <row r="24" spans="1:20" ht="16" customHeight="1" x14ac:dyDescent="0.2">
      <c r="A24">
        <v>23</v>
      </c>
      <c r="B24" s="1">
        <v>64.67</v>
      </c>
      <c r="C24" s="1" t="s">
        <v>154</v>
      </c>
      <c r="D24" s="1" t="s">
        <v>155</v>
      </c>
      <c r="E24" s="1"/>
      <c r="F24" s="1" t="s">
        <v>156</v>
      </c>
      <c r="G24" s="1" t="s">
        <v>23</v>
      </c>
      <c r="H24" s="1">
        <v>4</v>
      </c>
      <c r="I24" s="1" t="s">
        <v>158</v>
      </c>
      <c r="J24" s="2" t="s">
        <v>26</v>
      </c>
      <c r="K24" s="3" t="s">
        <v>43</v>
      </c>
      <c r="L24" s="3" t="s">
        <v>159</v>
      </c>
      <c r="M24" s="3" t="s">
        <v>99</v>
      </c>
      <c r="N24" s="3" t="s">
        <v>160</v>
      </c>
      <c r="O24" s="1" t="s">
        <v>157</v>
      </c>
      <c r="P24" s="9">
        <v>41.25</v>
      </c>
      <c r="Q24" s="10">
        <f t="shared" si="0"/>
        <v>43.25</v>
      </c>
      <c r="R24" s="11">
        <v>84.5</v>
      </c>
      <c r="S24" t="s">
        <v>275</v>
      </c>
      <c r="T24" t="s">
        <v>38</v>
      </c>
    </row>
    <row r="25" spans="1:20" ht="16" customHeight="1" x14ac:dyDescent="0.2">
      <c r="A25">
        <v>24</v>
      </c>
      <c r="B25" s="1" t="s">
        <v>31</v>
      </c>
      <c r="C25" s="5" t="s">
        <v>161</v>
      </c>
      <c r="D25" s="1" t="s">
        <v>162</v>
      </c>
      <c r="E25" s="1"/>
      <c r="F25" s="1" t="s">
        <v>156</v>
      </c>
      <c r="G25" s="1" t="s">
        <v>23</v>
      </c>
      <c r="H25" s="1">
        <v>4</v>
      </c>
      <c r="I25" s="1" t="s">
        <v>164</v>
      </c>
      <c r="J25" s="2" t="s">
        <v>26</v>
      </c>
      <c r="K25" s="3" t="s">
        <v>27</v>
      </c>
      <c r="L25" s="6"/>
      <c r="M25" s="3" t="s">
        <v>36</v>
      </c>
      <c r="N25" s="3" t="s">
        <v>165</v>
      </c>
      <c r="O25" s="1" t="s">
        <v>163</v>
      </c>
      <c r="P25" s="9">
        <v>41.5</v>
      </c>
      <c r="Q25" s="10">
        <f t="shared" si="0"/>
        <v>43.95</v>
      </c>
      <c r="R25" s="11">
        <v>85.45</v>
      </c>
      <c r="S25" t="s">
        <v>276</v>
      </c>
      <c r="T25" t="s">
        <v>45</v>
      </c>
    </row>
    <row r="26" spans="1:20" ht="16" customHeight="1" x14ac:dyDescent="0.2">
      <c r="A26">
        <v>25</v>
      </c>
      <c r="B26" s="1">
        <v>56.01</v>
      </c>
      <c r="C26" s="1" t="s">
        <v>166</v>
      </c>
      <c r="D26" s="1" t="s">
        <v>167</v>
      </c>
      <c r="E26" s="1">
        <v>10239182</v>
      </c>
      <c r="F26" s="1" t="s">
        <v>168</v>
      </c>
      <c r="G26" s="1" t="s">
        <v>23</v>
      </c>
      <c r="H26" s="1">
        <v>5</v>
      </c>
      <c r="I26" s="1" t="s">
        <v>170</v>
      </c>
      <c r="J26" s="2" t="s">
        <v>26</v>
      </c>
      <c r="K26" s="3" t="s">
        <v>27</v>
      </c>
      <c r="L26" s="3" t="s">
        <v>171</v>
      </c>
      <c r="M26" s="3" t="s">
        <v>99</v>
      </c>
      <c r="N26" s="3" t="s">
        <v>172</v>
      </c>
      <c r="O26" s="1" t="s">
        <v>169</v>
      </c>
      <c r="P26" s="9" t="s">
        <v>274</v>
      </c>
      <c r="Q26" s="10" t="s">
        <v>274</v>
      </c>
      <c r="R26" s="11" t="s">
        <v>274</v>
      </c>
      <c r="S26" t="s">
        <v>277</v>
      </c>
      <c r="T26" t="s">
        <v>19</v>
      </c>
    </row>
    <row r="27" spans="1:20" ht="16" customHeight="1" x14ac:dyDescent="0.2">
      <c r="A27">
        <v>26</v>
      </c>
      <c r="B27" s="1" t="s">
        <v>31</v>
      </c>
      <c r="C27" s="7" t="s">
        <v>51</v>
      </c>
      <c r="D27" s="1" t="s">
        <v>173</v>
      </c>
      <c r="E27" s="1">
        <v>10262517</v>
      </c>
      <c r="F27" s="1" t="s">
        <v>84</v>
      </c>
      <c r="G27" s="1" t="s">
        <v>23</v>
      </c>
      <c r="H27" s="1">
        <v>5</v>
      </c>
      <c r="I27" s="1" t="s">
        <v>175</v>
      </c>
      <c r="J27" s="2" t="s">
        <v>26</v>
      </c>
      <c r="K27" s="3" t="s">
        <v>43</v>
      </c>
      <c r="L27" s="6"/>
      <c r="M27" s="3" t="s">
        <v>36</v>
      </c>
      <c r="N27" s="3" t="s">
        <v>176</v>
      </c>
      <c r="O27" s="1" t="s">
        <v>174</v>
      </c>
      <c r="P27" s="9" t="s">
        <v>279</v>
      </c>
      <c r="Q27" s="10" t="e">
        <f t="shared" si="0"/>
        <v>#VALUE!</v>
      </c>
      <c r="R27" s="11">
        <v>86.9</v>
      </c>
      <c r="S27" t="s">
        <v>278</v>
      </c>
      <c r="T27" t="s">
        <v>45</v>
      </c>
    </row>
    <row r="28" spans="1:20" ht="16" customHeight="1" x14ac:dyDescent="0.2">
      <c r="A28">
        <v>27</v>
      </c>
      <c r="B28" s="8">
        <v>86.05</v>
      </c>
      <c r="C28" s="1" t="s">
        <v>177</v>
      </c>
      <c r="D28" s="1" t="s">
        <v>178</v>
      </c>
      <c r="E28" s="1"/>
      <c r="F28" s="1" t="s">
        <v>179</v>
      </c>
      <c r="G28" s="1" t="s">
        <v>23</v>
      </c>
      <c r="H28" s="1">
        <v>5</v>
      </c>
      <c r="I28" s="1" t="s">
        <v>181</v>
      </c>
      <c r="J28" s="2" t="s">
        <v>26</v>
      </c>
      <c r="K28" s="3" t="s">
        <v>43</v>
      </c>
      <c r="L28" s="3" t="s">
        <v>182</v>
      </c>
      <c r="M28" s="3" t="s">
        <v>29</v>
      </c>
      <c r="N28" s="3" t="s">
        <v>183</v>
      </c>
      <c r="O28" s="1" t="s">
        <v>180</v>
      </c>
      <c r="P28" s="9">
        <v>41.15</v>
      </c>
      <c r="Q28" s="10">
        <f t="shared" si="0"/>
        <v>-41.15</v>
      </c>
      <c r="R28" s="11">
        <v>0</v>
      </c>
      <c r="T28" t="s">
        <v>38</v>
      </c>
    </row>
    <row r="29" spans="1:20" ht="16" customHeight="1" x14ac:dyDescent="0.2">
      <c r="A29">
        <v>28</v>
      </c>
      <c r="B29" s="1">
        <v>70.64</v>
      </c>
      <c r="C29" s="1" t="s">
        <v>184</v>
      </c>
      <c r="D29" s="1" t="s">
        <v>185</v>
      </c>
      <c r="E29" s="1"/>
      <c r="F29" s="1" t="s">
        <v>186</v>
      </c>
      <c r="G29" s="1" t="s">
        <v>23</v>
      </c>
      <c r="H29" s="1">
        <v>5</v>
      </c>
      <c r="I29" s="1" t="s">
        <v>188</v>
      </c>
      <c r="J29" s="2" t="s">
        <v>26</v>
      </c>
      <c r="K29" s="3" t="s">
        <v>27</v>
      </c>
      <c r="L29" s="3" t="s">
        <v>189</v>
      </c>
      <c r="M29" s="3" t="s">
        <v>99</v>
      </c>
      <c r="N29" s="3" t="s">
        <v>190</v>
      </c>
      <c r="O29" s="1" t="s">
        <v>187</v>
      </c>
      <c r="P29" s="9">
        <v>42.2</v>
      </c>
      <c r="Q29" s="10">
        <f t="shared" si="0"/>
        <v>-42.2</v>
      </c>
      <c r="R29" s="11">
        <v>0</v>
      </c>
      <c r="T29" t="s">
        <v>45</v>
      </c>
    </row>
    <row r="30" spans="1:20" ht="16" customHeight="1" x14ac:dyDescent="0.2">
      <c r="A30">
        <v>29</v>
      </c>
      <c r="B30" s="1" t="s">
        <v>31</v>
      </c>
      <c r="C30" s="5" t="s">
        <v>161</v>
      </c>
      <c r="D30" s="1" t="s">
        <v>191</v>
      </c>
      <c r="E30" s="1"/>
      <c r="F30" s="1" t="s">
        <v>192</v>
      </c>
      <c r="G30" s="1" t="s">
        <v>23</v>
      </c>
      <c r="H30" s="1">
        <v>5</v>
      </c>
      <c r="I30" s="1" t="s">
        <v>194</v>
      </c>
      <c r="J30" s="2" t="s">
        <v>26</v>
      </c>
      <c r="K30" s="3" t="s">
        <v>27</v>
      </c>
      <c r="L30" s="6"/>
      <c r="M30" s="3" t="s">
        <v>36</v>
      </c>
      <c r="N30" s="3" t="s">
        <v>195</v>
      </c>
      <c r="O30" s="1" t="s">
        <v>193</v>
      </c>
      <c r="P30" s="9">
        <v>0</v>
      </c>
      <c r="Q30" s="10">
        <f t="shared" si="0"/>
        <v>0</v>
      </c>
      <c r="R30" s="11">
        <v>0</v>
      </c>
      <c r="T30" t="s">
        <v>45</v>
      </c>
    </row>
    <row r="31" spans="1:20" ht="16" customHeight="1" x14ac:dyDescent="0.2">
      <c r="A31">
        <v>30</v>
      </c>
      <c r="B31" s="1" t="s">
        <v>31</v>
      </c>
      <c r="C31" s="1" t="s">
        <v>39</v>
      </c>
      <c r="D31" s="1" t="s">
        <v>196</v>
      </c>
      <c r="E31" s="1"/>
      <c r="F31" s="1" t="s">
        <v>53</v>
      </c>
      <c r="G31" s="1" t="s">
        <v>23</v>
      </c>
      <c r="H31" s="1">
        <v>6</v>
      </c>
      <c r="I31" s="1" t="s">
        <v>198</v>
      </c>
      <c r="J31" s="2" t="s">
        <v>26</v>
      </c>
      <c r="K31" s="3" t="s">
        <v>27</v>
      </c>
      <c r="L31" s="6"/>
      <c r="M31" s="3" t="s">
        <v>36</v>
      </c>
      <c r="N31" s="3" t="s">
        <v>199</v>
      </c>
      <c r="O31" s="1" t="s">
        <v>197</v>
      </c>
      <c r="P31" s="9">
        <v>0</v>
      </c>
      <c r="Q31" s="10">
        <f t="shared" si="0"/>
        <v>0</v>
      </c>
      <c r="R31" s="11">
        <v>0</v>
      </c>
      <c r="T31" t="s">
        <v>38</v>
      </c>
    </row>
    <row r="32" spans="1:20" ht="16" customHeight="1" x14ac:dyDescent="0.2">
      <c r="A32">
        <v>31</v>
      </c>
      <c r="B32" s="1" t="s">
        <v>31</v>
      </c>
      <c r="C32" s="1" t="s">
        <v>200</v>
      </c>
      <c r="D32" s="1" t="s">
        <v>201</v>
      </c>
      <c r="E32" s="1">
        <v>10266753</v>
      </c>
      <c r="F32" s="1" t="s">
        <v>71</v>
      </c>
      <c r="G32" s="1" t="s">
        <v>23</v>
      </c>
      <c r="H32" s="1">
        <v>6</v>
      </c>
      <c r="I32" s="1" t="s">
        <v>203</v>
      </c>
      <c r="J32" s="2" t="s">
        <v>26</v>
      </c>
      <c r="K32" s="3" t="s">
        <v>43</v>
      </c>
      <c r="L32" s="6"/>
      <c r="M32" s="3" t="s">
        <v>36</v>
      </c>
      <c r="N32" s="3" t="s">
        <v>204</v>
      </c>
      <c r="O32" s="1" t="s">
        <v>202</v>
      </c>
      <c r="P32" s="9">
        <v>0</v>
      </c>
      <c r="Q32" s="10">
        <f t="shared" si="0"/>
        <v>0</v>
      </c>
      <c r="R32" s="11">
        <v>0</v>
      </c>
      <c r="T32" t="s">
        <v>19</v>
      </c>
    </row>
    <row r="33" spans="1:20" ht="16" customHeight="1" x14ac:dyDescent="0.2">
      <c r="A33">
        <v>32</v>
      </c>
      <c r="B33" s="8">
        <v>89.52</v>
      </c>
      <c r="C33" s="1" t="s">
        <v>205</v>
      </c>
      <c r="D33" s="1" t="s">
        <v>206</v>
      </c>
      <c r="E33" s="1">
        <v>10203017</v>
      </c>
      <c r="F33" s="1" t="s">
        <v>179</v>
      </c>
      <c r="G33" s="1" t="s">
        <v>23</v>
      </c>
      <c r="H33" s="1">
        <v>6</v>
      </c>
      <c r="I33" s="1" t="s">
        <v>208</v>
      </c>
      <c r="J33" s="2" t="s">
        <v>26</v>
      </c>
      <c r="K33" s="3" t="s">
        <v>43</v>
      </c>
      <c r="L33" s="3" t="s">
        <v>209</v>
      </c>
      <c r="M33" s="3" t="s">
        <v>99</v>
      </c>
      <c r="N33" s="3" t="s">
        <v>210</v>
      </c>
      <c r="O33" s="1" t="s">
        <v>207</v>
      </c>
      <c r="P33" s="9">
        <v>0</v>
      </c>
      <c r="Q33" s="10">
        <f t="shared" si="0"/>
        <v>0</v>
      </c>
      <c r="R33" s="11">
        <v>0</v>
      </c>
      <c r="T33" t="s">
        <v>38</v>
      </c>
    </row>
    <row r="34" spans="1:20" ht="16" customHeight="1" x14ac:dyDescent="0.2">
      <c r="A34">
        <v>33</v>
      </c>
      <c r="B34" s="1">
        <v>74.709999999999994</v>
      </c>
      <c r="C34" s="1" t="s">
        <v>211</v>
      </c>
      <c r="D34" s="1" t="s">
        <v>212</v>
      </c>
      <c r="E34" s="1"/>
      <c r="F34" s="1" t="s">
        <v>22</v>
      </c>
      <c r="G34" s="1" t="s">
        <v>23</v>
      </c>
      <c r="H34" s="1">
        <v>6</v>
      </c>
      <c r="I34" s="1" t="s">
        <v>214</v>
      </c>
      <c r="J34" s="2" t="s">
        <v>26</v>
      </c>
      <c r="K34" s="3" t="s">
        <v>43</v>
      </c>
      <c r="L34" s="3" t="s">
        <v>215</v>
      </c>
      <c r="M34" s="3" t="s">
        <v>99</v>
      </c>
      <c r="N34" s="3" t="s">
        <v>216</v>
      </c>
      <c r="O34" s="1" t="s">
        <v>213</v>
      </c>
      <c r="P34" s="9">
        <v>0</v>
      </c>
      <c r="Q34" s="10">
        <f t="shared" si="0"/>
        <v>0</v>
      </c>
      <c r="R34" s="11">
        <v>0</v>
      </c>
      <c r="T34" t="s">
        <v>45</v>
      </c>
    </row>
    <row r="35" spans="1:20" ht="16" customHeight="1" x14ac:dyDescent="0.2">
      <c r="A35">
        <v>34</v>
      </c>
      <c r="B35" s="1" t="s">
        <v>31</v>
      </c>
      <c r="C35" s="1" t="s">
        <v>217</v>
      </c>
      <c r="D35" s="1" t="s">
        <v>218</v>
      </c>
      <c r="E35" s="1"/>
      <c r="F35" s="1" t="s">
        <v>192</v>
      </c>
      <c r="G35" s="1" t="s">
        <v>23</v>
      </c>
      <c r="H35" s="1">
        <v>7</v>
      </c>
      <c r="I35" s="1" t="s">
        <v>220</v>
      </c>
      <c r="J35" s="2" t="s">
        <v>26</v>
      </c>
      <c r="K35" s="3" t="s">
        <v>43</v>
      </c>
      <c r="L35" s="3" t="s">
        <v>215</v>
      </c>
      <c r="M35" s="3" t="s">
        <v>99</v>
      </c>
      <c r="N35" s="3" t="s">
        <v>216</v>
      </c>
      <c r="O35" s="1" t="s">
        <v>219</v>
      </c>
      <c r="P35" s="9">
        <v>0</v>
      </c>
      <c r="Q35" s="10">
        <f t="shared" si="0"/>
        <v>0</v>
      </c>
      <c r="R35" s="11">
        <v>0</v>
      </c>
      <c r="T35" t="s">
        <v>38</v>
      </c>
    </row>
    <row r="36" spans="1:20" ht="16" customHeight="1" x14ac:dyDescent="0.2">
      <c r="A36">
        <v>35</v>
      </c>
      <c r="B36" s="1" t="s">
        <v>31</v>
      </c>
      <c r="C36" s="5" t="s">
        <v>161</v>
      </c>
      <c r="D36" s="1" t="s">
        <v>221</v>
      </c>
      <c r="E36" s="1"/>
      <c r="F36" s="1" t="s">
        <v>84</v>
      </c>
      <c r="G36" s="1" t="s">
        <v>23</v>
      </c>
      <c r="H36" s="1">
        <v>7</v>
      </c>
      <c r="I36" s="1" t="s">
        <v>223</v>
      </c>
      <c r="J36" s="2" t="s">
        <v>26</v>
      </c>
      <c r="K36" s="3" t="s">
        <v>43</v>
      </c>
      <c r="L36" s="6"/>
      <c r="M36" s="3" t="s">
        <v>36</v>
      </c>
      <c r="N36" s="3" t="s">
        <v>224</v>
      </c>
      <c r="O36" s="1" t="s">
        <v>222</v>
      </c>
      <c r="P36" s="9">
        <v>0</v>
      </c>
      <c r="Q36" s="10">
        <f t="shared" si="0"/>
        <v>0</v>
      </c>
      <c r="R36" s="11">
        <v>0</v>
      </c>
      <c r="T36" t="s">
        <v>38</v>
      </c>
    </row>
    <row r="37" spans="1:20" ht="16" customHeight="1" x14ac:dyDescent="0.2">
      <c r="A37">
        <v>36</v>
      </c>
      <c r="B37" s="8">
        <v>81.430000000000007</v>
      </c>
      <c r="C37" s="1" t="s">
        <v>225</v>
      </c>
      <c r="D37" s="1" t="s">
        <v>226</v>
      </c>
      <c r="E37" s="1">
        <v>10243244</v>
      </c>
      <c r="F37" s="1" t="s">
        <v>119</v>
      </c>
      <c r="G37" s="1" t="s">
        <v>23</v>
      </c>
      <c r="H37" s="1">
        <v>8</v>
      </c>
      <c r="I37" s="1" t="s">
        <v>228</v>
      </c>
      <c r="J37" s="2" t="s">
        <v>26</v>
      </c>
      <c r="K37" s="3" t="s">
        <v>43</v>
      </c>
      <c r="L37" s="3" t="s">
        <v>229</v>
      </c>
      <c r="M37" s="3" t="s">
        <v>99</v>
      </c>
      <c r="N37" s="3" t="s">
        <v>230</v>
      </c>
      <c r="O37" s="1" t="s">
        <v>227</v>
      </c>
      <c r="P37" s="9">
        <v>0</v>
      </c>
      <c r="Q37" s="10">
        <f t="shared" si="0"/>
        <v>0</v>
      </c>
      <c r="R37" s="11">
        <v>0</v>
      </c>
      <c r="T37" t="s">
        <v>45</v>
      </c>
    </row>
    <row r="38" spans="1:20" ht="16" customHeight="1" x14ac:dyDescent="0.2">
      <c r="A38">
        <v>37</v>
      </c>
      <c r="B38" s="1" t="s">
        <v>31</v>
      </c>
      <c r="C38" s="7" t="s">
        <v>51</v>
      </c>
      <c r="D38" s="1" t="s">
        <v>231</v>
      </c>
      <c r="E38" s="1">
        <v>10268368</v>
      </c>
      <c r="F38" s="1" t="s">
        <v>84</v>
      </c>
      <c r="G38" s="1" t="s">
        <v>23</v>
      </c>
      <c r="H38" s="1">
        <v>8</v>
      </c>
      <c r="I38" s="1" t="s">
        <v>233</v>
      </c>
      <c r="J38" s="2" t="s">
        <v>26</v>
      </c>
      <c r="K38" s="3" t="s">
        <v>43</v>
      </c>
      <c r="L38" s="6"/>
      <c r="M38" s="3" t="s">
        <v>36</v>
      </c>
      <c r="N38" s="3" t="s">
        <v>234</v>
      </c>
      <c r="O38" s="1" t="s">
        <v>232</v>
      </c>
      <c r="P38" s="9">
        <v>0</v>
      </c>
      <c r="Q38" s="10">
        <f t="shared" si="0"/>
        <v>0</v>
      </c>
      <c r="R38" s="11">
        <v>0</v>
      </c>
      <c r="T38" t="s">
        <v>45</v>
      </c>
    </row>
    <row r="39" spans="1:20" ht="16" customHeight="1" x14ac:dyDescent="0.2">
      <c r="A39">
        <v>38</v>
      </c>
      <c r="B39" s="1">
        <v>57.96</v>
      </c>
      <c r="C39" s="1" t="s">
        <v>235</v>
      </c>
      <c r="D39" s="1" t="s">
        <v>236</v>
      </c>
      <c r="E39" s="1">
        <v>10239944</v>
      </c>
      <c r="F39" s="1" t="s">
        <v>237</v>
      </c>
      <c r="G39" s="1" t="s">
        <v>23</v>
      </c>
      <c r="H39" s="1">
        <v>8</v>
      </c>
      <c r="I39" s="1" t="s">
        <v>239</v>
      </c>
      <c r="J39" s="2" t="s">
        <v>26</v>
      </c>
      <c r="K39" s="3" t="s">
        <v>27</v>
      </c>
      <c r="L39" s="3" t="s">
        <v>240</v>
      </c>
      <c r="M39" s="3" t="s">
        <v>29</v>
      </c>
      <c r="N39" s="3" t="s">
        <v>241</v>
      </c>
      <c r="O39" s="1" t="s">
        <v>238</v>
      </c>
      <c r="P39" s="9">
        <v>0</v>
      </c>
      <c r="Q39" s="10">
        <f t="shared" si="0"/>
        <v>0</v>
      </c>
      <c r="R39" s="11">
        <v>0</v>
      </c>
      <c r="T39" t="s">
        <v>45</v>
      </c>
    </row>
    <row r="40" spans="1:20" ht="16" customHeight="1" x14ac:dyDescent="0.2">
      <c r="A40">
        <v>39</v>
      </c>
      <c r="B40" s="1">
        <v>70.33</v>
      </c>
      <c r="C40" s="1" t="s">
        <v>242</v>
      </c>
      <c r="D40" s="1" t="s">
        <v>243</v>
      </c>
      <c r="E40" s="1"/>
      <c r="F40" s="1" t="s">
        <v>237</v>
      </c>
      <c r="G40" s="1" t="s">
        <v>23</v>
      </c>
      <c r="H40" s="1">
        <v>8</v>
      </c>
      <c r="I40" s="1" t="s">
        <v>245</v>
      </c>
      <c r="J40" s="2" t="s">
        <v>26</v>
      </c>
      <c r="K40" s="3" t="s">
        <v>27</v>
      </c>
      <c r="L40" s="3"/>
      <c r="M40" s="3" t="s">
        <v>36</v>
      </c>
      <c r="N40" s="3" t="s">
        <v>246</v>
      </c>
      <c r="O40" s="1" t="s">
        <v>244</v>
      </c>
      <c r="P40" s="9">
        <v>0</v>
      </c>
      <c r="Q40" s="10">
        <f t="shared" si="0"/>
        <v>0</v>
      </c>
      <c r="R40" s="11">
        <v>0</v>
      </c>
      <c r="T40" t="s">
        <v>19</v>
      </c>
    </row>
    <row r="41" spans="1:20" ht="16" customHeight="1" x14ac:dyDescent="0.2">
      <c r="A41">
        <v>40</v>
      </c>
      <c r="B41" s="8">
        <v>86.7</v>
      </c>
      <c r="C41" s="1" t="s">
        <v>247</v>
      </c>
      <c r="D41" s="1" t="s">
        <v>248</v>
      </c>
      <c r="E41" s="1">
        <v>10222050</v>
      </c>
      <c r="F41" s="1" t="s">
        <v>249</v>
      </c>
      <c r="G41" s="1" t="s">
        <v>23</v>
      </c>
      <c r="H41" s="1">
        <v>9</v>
      </c>
      <c r="I41" s="1" t="s">
        <v>251</v>
      </c>
      <c r="J41" s="2" t="s">
        <v>26</v>
      </c>
      <c r="K41" s="3" t="s">
        <v>27</v>
      </c>
      <c r="L41" s="3" t="s">
        <v>252</v>
      </c>
      <c r="M41" s="3" t="s">
        <v>99</v>
      </c>
      <c r="N41" s="3" t="s">
        <v>253</v>
      </c>
      <c r="O41" s="1" t="s">
        <v>250</v>
      </c>
      <c r="P41" s="9">
        <v>0</v>
      </c>
      <c r="Q41" s="10">
        <f t="shared" si="0"/>
        <v>0</v>
      </c>
      <c r="R41" s="11">
        <v>0</v>
      </c>
      <c r="T41" t="s">
        <v>38</v>
      </c>
    </row>
    <row r="42" spans="1:20" ht="16" customHeight="1" x14ac:dyDescent="0.2">
      <c r="A42">
        <v>41</v>
      </c>
      <c r="B42" s="1" t="s">
        <v>31</v>
      </c>
      <c r="C42" s="5" t="s">
        <v>32</v>
      </c>
      <c r="D42" s="1" t="s">
        <v>254</v>
      </c>
      <c r="E42" s="1">
        <v>10274756</v>
      </c>
      <c r="F42" s="1" t="s">
        <v>53</v>
      </c>
      <c r="G42" s="1" t="s">
        <v>23</v>
      </c>
      <c r="H42" s="1">
        <v>9</v>
      </c>
      <c r="I42" s="1" t="s">
        <v>256</v>
      </c>
      <c r="J42" s="2" t="s">
        <v>26</v>
      </c>
      <c r="K42" s="3" t="s">
        <v>27</v>
      </c>
      <c r="L42" s="6"/>
      <c r="M42" s="3" t="s">
        <v>36</v>
      </c>
      <c r="N42" s="3" t="s">
        <v>257</v>
      </c>
      <c r="O42" s="1" t="s">
        <v>255</v>
      </c>
      <c r="P42" s="9">
        <v>0</v>
      </c>
      <c r="Q42" s="10">
        <f t="shared" si="0"/>
        <v>0</v>
      </c>
      <c r="R42" s="11">
        <v>0</v>
      </c>
      <c r="T42" t="s">
        <v>45</v>
      </c>
    </row>
    <row r="43" spans="1:20" ht="16" customHeight="1" x14ac:dyDescent="0.2">
      <c r="A43">
        <v>42</v>
      </c>
      <c r="B43" s="1">
        <v>52.8</v>
      </c>
      <c r="C43" s="1" t="s">
        <v>258</v>
      </c>
      <c r="D43" s="1" t="s">
        <v>259</v>
      </c>
      <c r="E43" s="1"/>
      <c r="F43" s="1" t="s">
        <v>237</v>
      </c>
      <c r="G43" s="1" t="s">
        <v>23</v>
      </c>
      <c r="H43" s="1">
        <v>9</v>
      </c>
      <c r="I43" s="1" t="s">
        <v>261</v>
      </c>
      <c r="J43" s="2" t="s">
        <v>26</v>
      </c>
      <c r="K43" s="3" t="s">
        <v>43</v>
      </c>
      <c r="L43" s="3" t="s">
        <v>262</v>
      </c>
      <c r="M43" s="3" t="s">
        <v>99</v>
      </c>
      <c r="N43" s="3" t="s">
        <v>263</v>
      </c>
      <c r="O43" s="1" t="s">
        <v>260</v>
      </c>
      <c r="P43" s="9">
        <v>0</v>
      </c>
      <c r="Q43" s="10">
        <f t="shared" si="0"/>
        <v>0</v>
      </c>
      <c r="R43" s="11">
        <v>0</v>
      </c>
      <c r="T43" t="s">
        <v>19</v>
      </c>
    </row>
    <row r="44" spans="1:20" ht="16" customHeight="1" x14ac:dyDescent="0.2">
      <c r="A44">
        <v>43</v>
      </c>
      <c r="B44" s="1">
        <v>65.78</v>
      </c>
      <c r="C44" s="1" t="s">
        <v>264</v>
      </c>
      <c r="D44" s="1" t="s">
        <v>265</v>
      </c>
      <c r="E44" s="1">
        <v>10258756</v>
      </c>
      <c r="F44" s="1" t="s">
        <v>95</v>
      </c>
      <c r="G44" s="1" t="s">
        <v>23</v>
      </c>
      <c r="H44" s="1">
        <v>9</v>
      </c>
      <c r="I44" s="1" t="s">
        <v>267</v>
      </c>
      <c r="J44" s="2" t="s">
        <v>26</v>
      </c>
      <c r="K44" s="3" t="s">
        <v>27</v>
      </c>
      <c r="L44" s="3" t="s">
        <v>268</v>
      </c>
      <c r="M44" s="3" t="s">
        <v>29</v>
      </c>
      <c r="N44" s="3" t="s">
        <v>269</v>
      </c>
      <c r="O44" s="1" t="s">
        <v>266</v>
      </c>
      <c r="P44" s="9">
        <v>0</v>
      </c>
      <c r="Q44" s="10">
        <f t="shared" si="0"/>
        <v>0</v>
      </c>
      <c r="R44" s="11">
        <v>0</v>
      </c>
      <c r="T44" t="s">
        <v>19</v>
      </c>
    </row>
  </sheetData>
  <hyperlinks>
    <hyperlink ref="J2" r:id="rId1" display="https://probullstats.com/loggers/matchup.php?bull=52839&amp;guy=Jess+Lockwood" xr:uid="{F970B9C6-9BCD-5E46-AA4F-71F0EACB3924}"/>
    <hyperlink ref="J3" r:id="rId2" display="https://probullstats.com/loggers/matchup.php?bull=56214&amp;guy=Kase+Hitt" xr:uid="{F506C8E8-40E1-964F-B9DA-D7FE929F019A}"/>
    <hyperlink ref="J4" r:id="rId3" display="https://probullstats.com/loggers/matchup.php?bull=56035&amp;guy=Julio+Cesar+Marques" xr:uid="{053518A0-6349-4744-95DE-41EFA4861A41}"/>
    <hyperlink ref="J5" r:id="rId4" display="https://probullstats.com/loggers/matchup.php?bull=55806&amp;guy=Kaiden+Loud" xr:uid="{8C7DDD88-3D1A-C94E-923A-DA0DBC8146AD}"/>
    <hyperlink ref="J6" r:id="rId5" display="https://probullstats.com/loggers/matchup.php?bull=56540&amp;guy=Mauricio+Gulla+Moreira" xr:uid="{FD7D6547-2C8C-2840-A167-738CAB9A832C}"/>
    <hyperlink ref="J7" r:id="rId6" display="https://probullstats.com/loggers/matchup.php?bull=48948&amp;guy=Bob+Mitchell" xr:uid="{F0059777-5DFE-F946-AC6B-1EDDB6C3D6AF}"/>
    <hyperlink ref="J8" r:id="rId7" display="https://probullstats.com/loggers/matchup.php?bull=54839&amp;guy=Keyshawn+Whitehorse" xr:uid="{B26D7B4B-123C-0149-ADFC-45AB02B58CFD}"/>
    <hyperlink ref="J9" r:id="rId8" display="https://probullstats.com/loggers/matchup.php?bull=53968&amp;guy=Manoelito+de+Souza+Junior" xr:uid="{569F14A1-459F-2244-90DC-CB697A4D3339}"/>
    <hyperlink ref="J10" r:id="rId9" display="https://probullstats.com/loggers/matchup.php?bull=53970&amp;guy=Leandro+Zampollo" xr:uid="{1F2BFB5A-99B7-9846-A2AC-C3775B994DBD}"/>
    <hyperlink ref="J11" r:id="rId10" display="https://probullstats.com/loggers/matchup.php?bull=56046&amp;guy=Paulo+Eduardo+Rossetto" xr:uid="{6DB243E9-BFED-B842-B9FC-F6B37C950BA1}"/>
    <hyperlink ref="J12" r:id="rId11" display="https://probullstats.com/loggers/matchup.php?bull=54711&amp;guy=Alex+Cerqueira" xr:uid="{6008F3BA-B37C-924B-8487-8673B80C5062}"/>
    <hyperlink ref="J13" r:id="rId12" display="https://probullstats.com/loggers/matchup.php?bull=47944&amp;guy=Luciano+De+Castro" xr:uid="{9267FA7D-248E-B34C-8C38-7BE0A78E8AEA}"/>
    <hyperlink ref="J14" r:id="rId13" display="https://probullstats.com/loggers/matchup.php?bull=54869&amp;guy=Maverick+Smith" xr:uid="{D678A161-F7D7-2F41-B2E8-5D745A686CC6}"/>
    <hyperlink ref="J15" r:id="rId14" display="https://probullstats.com/loggers/matchup.php?bull=52181&amp;guy=Hudson+Bolton" xr:uid="{AD073728-5785-1A4F-A08B-4B96F315C8A4}"/>
    <hyperlink ref="J16" r:id="rId15" display="https://probullstats.com/loggers/matchup.php?bull=52572&amp;guy=Alex+Junior+da+Silva" xr:uid="{7E120FEA-998C-D94A-9898-25668BC671E8}"/>
    <hyperlink ref="J17" r:id="rId16" display="https://probullstats.com/loggers/matchup.php?bull=55061&amp;guy=Bruno+Carvalho" xr:uid="{0556D485-6D01-CC4C-87EB-623E88F2E932}"/>
    <hyperlink ref="J18" r:id="rId17" display="https://probullstats.com/loggers/matchup.php?bull=54896&amp;guy=Mason+Taylor" xr:uid="{4D30E132-8232-7C42-9CD6-B9669F98DF66}"/>
    <hyperlink ref="J19" r:id="rId18" display="https://probullstats.com/loggers/matchup.php?bull=52731&amp;guy=Marco+Rizzo" xr:uid="{1266D028-E5E7-0146-B7F2-D84A3EB2D983}"/>
    <hyperlink ref="J20" r:id="rId19" display="https://probullstats.com/loggers/matchup.php?bull=56541&amp;guy=John+Crimber" xr:uid="{B409839B-8FC2-804B-92CB-C6EB4D712DA3}"/>
    <hyperlink ref="J21" r:id="rId20" display="https://probullstats.com/loggers/matchup.php?bull=55423&amp;guy=Eduardo+Aparecido" xr:uid="{581E78AC-8306-9D44-B916-342AC1D9626F}"/>
    <hyperlink ref="J22" r:id="rId21" display="https://probullstats.com/loggers/matchup.php?bull=55889&amp;guy=Brady+Fielder" xr:uid="{325C0132-97EC-AB4C-9652-5EB81533072B}"/>
    <hyperlink ref="J23" r:id="rId22" display="https://probullstats.com/loggers/matchup.php?bull=55691&amp;guy=Claudio+Montanha+Jr." xr:uid="{7CD20EF3-9BDD-5748-87FB-A8B4A3E49BDB}"/>
    <hyperlink ref="J24" r:id="rId23" display="https://probullstats.com/loggers/matchup.php?bull=50890&amp;guy=Trace+Redd" xr:uid="{2C05EFFD-59C7-DC42-AE87-3CEB6B55C7DD}"/>
    <hyperlink ref="J25" r:id="rId24" display="https://probullstats.com/loggers/matchup.php?bull=56045&amp;guy=Daniel+Keeping" xr:uid="{469A118B-00C6-4B49-B5C6-A3C6C9B15ACC}"/>
    <hyperlink ref="J26" r:id="rId25" display="https://probullstats.com/loggers/matchup.php?bull=52122&amp;guy=Jose+Vitor+Leme" xr:uid="{3C3E0CC1-BD10-3B44-ADAF-07E4338402BA}"/>
    <hyperlink ref="J27" r:id="rId26" display="https://probullstats.com/loggers/matchup.php?bull=56542&amp;guy=Cort+McFadden" xr:uid="{129071F9-1177-4340-9B59-0E2D000E9C69}"/>
    <hyperlink ref="J28" r:id="rId27" display="https://probullstats.com/loggers/matchup.php?bull=45407&amp;guy=Jadon+Hayes" xr:uid="{963E5A5A-6D28-2349-935F-133EDC8262EA}"/>
    <hyperlink ref="J29" r:id="rId28" display="https://probullstats.com/loggers/matchup.php?bull=48463&amp;guy=Joao+Ricardo+Vieira" xr:uid="{9ACEEFE7-F7D3-7E4A-9BF5-24143405AFA1}"/>
    <hyperlink ref="J30" r:id="rId29" display="https://probullstats.com/loggers/matchup.php?bull=53635&amp;guy=Macaulie+Leather" xr:uid="{B697B491-58DB-4B4B-8562-9AB358049F51}"/>
    <hyperlink ref="J31" r:id="rId30" display="https://probullstats.com/loggers/matchup.php?bull=56345&amp;guy=Natanael+Serra+Aires" xr:uid="{0BCBF768-93D3-8F43-8AD5-206A7FB3B833}"/>
    <hyperlink ref="J32" r:id="rId31" display="https://probullstats.com/loggers/matchup.php?bull=55084&amp;guy=Sage+Kimzey" xr:uid="{D66640D7-CE04-A640-86B0-643111985C5C}"/>
    <hyperlink ref="J33" r:id="rId32" display="https://probullstats.com/loggers/matchup.php?bull=43263&amp;guy=Eric+Henrique+Domingos" xr:uid="{716167A1-FB1B-D243-A41C-5B4ADE29A6E6}"/>
    <hyperlink ref="J34" r:id="rId33" display="https://probullstats.com/loggers/matchup.php?bull=50683&amp;guy=Kaique+Pacheco" xr:uid="{180B9CC1-DC3C-A947-96FF-6EB1A3EB77CB}"/>
    <hyperlink ref="J35" r:id="rId34" display="https://probullstats.com/loggers/matchup.php?bull=53634&amp;guy=Marcelo+De+Souza+Dias+Junior" xr:uid="{0BB40081-B139-2F4C-B0A3-9745E426BEAF}"/>
    <hyperlink ref="J36" r:id="rId35" display="https://probullstats.com/loggers/matchup.php?bull=55693&amp;guy=Callum+Miller" xr:uid="{2A7095C3-9A96-904C-8825-FDD5D393F760}"/>
    <hyperlink ref="J37" r:id="rId36" display="https://probullstats.com/loggers/matchup.php?bull=52004&amp;guy=Bruno+Roberto" xr:uid="{2A512A64-74CA-7246-911B-43D2ADA4C788}"/>
    <hyperlink ref="J38" r:id="rId37" display="https://probullstats.com/loggers/matchup.php?bull=56543&amp;guy=Lucas+Divino" xr:uid="{74303718-CC19-714D-B767-E9BF6F270DFC}"/>
    <hyperlink ref="J39" r:id="rId38" display="https://probullstats.com/loggers/matchup.php?bull=47812&amp;guy=Andy+Guzman" xr:uid="{BCB8E763-7EFC-C64A-A714-03EAC79C3956}"/>
    <hyperlink ref="J40" r:id="rId39" display="https://probullstats.com/loggers/matchup.php?bull=52618&amp;guy=Dener+Barbosa" xr:uid="{094DB341-E704-864E-ABEE-F20088B176D7}"/>
    <hyperlink ref="J41" r:id="rId40" display="https://probullstats.com/loggers/matchup.php?bull=47325&amp;guy=Koltin+Hevalow" xr:uid="{0A517EBE-BEF9-0B49-A775-5E7D09C557BE}"/>
    <hyperlink ref="J42" r:id="rId41" display="https://probullstats.com/loggers/matchup.php?bull=56319&amp;guy=Vinicius+Pinheiro+Correa" xr:uid="{7DAB5BE5-3791-D249-A50F-F3D91CAD6DA7}"/>
    <hyperlink ref="J43" r:id="rId42" display="https://probullstats.com/loggers/matchup.php?bull=52178&amp;guy=Cassio+Dias" xr:uid="{3D7C6384-160B-8A48-A29D-CB20A28B4E76}"/>
    <hyperlink ref="J44" r:id="rId43" display="https://probullstats.com/loggers/matchup.php?bull=54035&amp;guy=Dalton+Kasel" xr:uid="{0EDD66C9-F792-EC45-A24C-1F3BD6F40636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Tacoma Day 1</vt:lpstr>
      <vt:lpstr>Billings Day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Jordan Young</dc:creator>
  <cp:lastModifiedBy>Cameron Jordan Young</cp:lastModifiedBy>
  <dcterms:created xsi:type="dcterms:W3CDTF">2026-04-17T18:16:05Z</dcterms:created>
  <dcterms:modified xsi:type="dcterms:W3CDTF">2026-04-24T23:35:20Z</dcterms:modified>
</cp:coreProperties>
</file>