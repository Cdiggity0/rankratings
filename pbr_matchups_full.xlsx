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onyoung/Desktop/rankratings:/data/"/>
    </mc:Choice>
  </mc:AlternateContent>
  <xr:revisionPtr revIDLastSave="0" documentId="13_ncr:1_{50D2FA8B-5119-FE4A-AACF-CB09959EC24D}" xr6:coauthVersionLast="47" xr6:coauthVersionMax="47" xr10:uidLastSave="{00000000-0000-0000-0000-000000000000}"/>
  <bookViews>
    <workbookView xWindow="19600" yWindow="740" windowWidth="10640" windowHeight="18900" xr2:uid="{63502F5A-9950-074D-B0A2-89EF4471630B}"/>
  </bookViews>
  <sheets>
    <sheet name="Billings Day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11" i="1"/>
  <c r="Q43" i="1"/>
  <c r="Q29" i="1"/>
  <c r="Q22" i="1"/>
  <c r="Q21" i="1"/>
  <c r="Q35" i="1"/>
  <c r="Q34" i="1"/>
  <c r="Q32" i="1"/>
  <c r="Q37" i="1"/>
  <c r="Q42" i="1"/>
  <c r="Q18" i="1"/>
  <c r="Q27" i="1"/>
  <c r="Q25" i="1"/>
  <c r="Q39" i="1"/>
  <c r="Q26" i="1"/>
  <c r="Q23" i="1"/>
  <c r="Q28" i="1"/>
  <c r="Q13" i="1"/>
  <c r="Q40" i="1"/>
  <c r="Q24" i="1"/>
  <c r="Q30" i="1"/>
  <c r="Q36" i="1"/>
  <c r="Q44" i="1"/>
  <c r="Q20" i="1"/>
  <c r="Q15" i="1"/>
  <c r="Q33" i="1"/>
  <c r="Q31" i="1"/>
  <c r="Q41" i="1"/>
  <c r="Q38" i="1"/>
  <c r="Q17" i="1"/>
  <c r="R8" i="1"/>
  <c r="R9" i="1"/>
  <c r="R4" i="1"/>
  <c r="Q4" i="1"/>
</calcChain>
</file>

<file path=xl/sharedStrings.xml><?xml version="1.0" encoding="utf-8"?>
<sst xmlns="http://schemas.openxmlformats.org/spreadsheetml/2006/main" count="545" uniqueCount="277">
  <si>
    <t>Bull Power</t>
  </si>
  <si>
    <t>Advantage</t>
  </si>
  <si>
    <t>Total</t>
  </si>
  <si>
    <t>Number</t>
  </si>
  <si>
    <t>Bull Record</t>
  </si>
  <si>
    <t>Bull Name</t>
  </si>
  <si>
    <t>ABBI</t>
  </si>
  <si>
    <t>Stock Contractor</t>
  </si>
  <si>
    <t>Event</t>
  </si>
  <si>
    <t>Section</t>
  </si>
  <si>
    <t>Bull Rider</t>
  </si>
  <si>
    <t>Ride Probability (confidence</t>
  </si>
  <si>
    <t>Link to matchup</t>
  </si>
  <si>
    <t>Riding Hand</t>
  </si>
  <si>
    <t>Bull Direction</t>
  </si>
  <si>
    <t>Notes</t>
  </si>
  <si>
    <t>Bull Score</t>
  </si>
  <si>
    <t>Rider Score</t>
  </si>
  <si>
    <t>Post Ride Notes</t>
  </si>
  <si>
    <t>Pick</t>
  </si>
  <si>
    <t>20-6 (3)</t>
  </si>
  <si>
    <t>933G Gene's Best(52839)</t>
  </si>
  <si>
    <t>BMJM</t>
  </si>
  <si>
    <t>UTB-BILL</t>
  </si>
  <si>
    <t>Jess Lockwood</t>
  </si>
  <si>
    <t>0.448 (10)</t>
  </si>
  <si>
    <t>match</t>
  </si>
  <si>
    <t>Left</t>
  </si>
  <si>
    <t>Rider 49.00%</t>
  </si>
  <si>
    <t>LEFT</t>
  </si>
  <si>
    <t>&lt;h2&gt;Rider&lt;/h2&gt;
&lt;p&gt;&lt;strong&gt;Career:&amp;nbsp;&lt;/strong&gt;Career: 266 for 550 - &lt;span style="color: #ff0000;"&gt;&lt;em&gt;48.36%&lt;/em&gt;&lt;/span&gt; - Rider Rating: *.408&lt;/p&gt;
&lt;p&gt;&lt;strong&gt;Season:&amp;nbsp;&lt;/strong&gt;Rank&amp;nbsp;&lt;span style="color: #ff0000;"&gt;22&lt;/span&gt; (18 for 39 - &lt;em&gt;46.2%&lt;/em&gt;)&lt;em&gt;&lt;br /&gt;&lt;/em&gt;&lt;/p&gt;
&lt;p&gt;&lt;strong&gt;Points:&amp;nbsp;&lt;/strong&gt;236.00 pts &lt;span style="color: #ff0000;"&gt;&lt;em&gt;(-591.5)&lt;/em&gt;&lt;/span&gt;&lt;/p&gt;
&lt;p&gt;&lt;strong&gt;Earnings:&amp;nbsp;&lt;/strong&gt;&lt;span style="color: #008000;"&gt;&lt;em&gt;$222,292.06&lt;/em&gt;&lt;/span&gt;&lt;/p&gt;
&lt;p&gt;&lt;strong&gt;Potential&lt;/strong&gt;:&amp;nbsp;82.89 to 88.89 points&lt;/p&gt;
&lt;p&gt;&amp;nbsp;&lt;/p&gt;
&lt;p&gt;&lt;span style="text-decoration: underline;"&gt;&lt;strong&gt;Bull&lt;/strong&gt;&lt;/span&gt;&lt;/p&gt;
&lt;p&gt;&lt;strong&gt;ALL:&lt;/strong&gt; 26 outs 6 rides - &lt;span style="color: #ff0000;"&gt;&lt;em&gt;76.92%&lt;/em&gt;&lt;/span&gt;&lt;/p&gt;
&lt;p&gt;&lt;strong&gt;UTB:&lt;/strong&gt; 12 outs 6 rides - &lt;span style="color: #ff0000;"&gt;&lt;em&gt;50%&lt;/em&gt;&lt;/span&gt;&lt;/p&gt;
&lt;p&gt;&lt;em&gt;&lt;span style="color: #ff0000;"&gt;*No Previous Matchups&lt;/span&gt;&lt;/em&gt;&lt;/p&gt;
&lt;hr /&gt;
&lt;p class="my-2 [&amp;amp;+p]:mt-4 [&amp;amp;_strong:has(+br)]:inline-block [&amp;amp;_strong:has(+br)]:pb-2"&gt;Jess Lockwood is a left-handed, 2-time PBR World Champion bull rider from Volborg, Montana, widely regarded as one of the most talented and intense riders of his generation.&lt;/p&gt;
&lt;h2 id="basic-profile" class="font-editorial font-bold mb-2 mt-4 [.has-inline-images_&amp;amp;]:clear-end text-lg first:mt-0 md:text-lg [hr+&amp;amp;]:mt-4"&gt;Basic profile&lt;/h2&gt;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[&amp;amp;_strong:has(+br)]:pb-2"&gt;&lt;strong&gt;Name:&lt;/strong&gt;&amp;nbsp;Jess Lockwood&lt;/p&gt;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[&amp;amp;_strong:has(+br)]:pb-2"&gt;&lt;strong&gt;Hometown:&lt;/strong&gt;&amp;nbsp;Volborg, Montana, USA&lt;/p&gt;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[&amp;amp;_strong:has(+br)]:pb-2"&gt;&lt;strong&gt;Team:&lt;/strong&gt;&amp;nbsp;Carolina Cowboys (PBR Teams)&lt;/p&gt;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[&amp;amp;_strong:has(+br)]:pb-2"&gt;&lt;strong&gt;Hand:&lt;/strong&gt;&amp;nbsp;Left&lt;/p&gt;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[&amp;amp;_strong:has(+br)]:pb-2"&gt;&lt;strong&gt;Age / Size:&lt;/strong&gt;&amp;nbsp;28 years old, 5'5", ~130 lbs&lt;/p&gt;
&lt;/li&gt;
&lt;/ul&gt;
&lt;h2 id="career-accomplishments" class="font-editorial font-bold mb-2 mt-4 [.has-inline-images_&amp;amp;]:clear-end text-lg first:mt-0 md:text-lg [hr+&amp;amp;]:mt-4"&gt;Career accomplishments&lt;/h2&gt;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[&amp;amp;_strong:has(+br)]:pb-2"&gt;&lt;strong&gt;Rookie of the Year:&lt;/strong&gt;&amp;nbsp;2016&lt;/p&gt;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Champion:&lt;/strong&gt;&amp;nbsp;2-time PBR World Champion (youngest 2x world champ in PBR history).&lt;/p&gt;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[&amp;amp;_strong:has(+br)]:pb-2"&gt;&lt;strong&gt;World Finals event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[&amp;amp;_strong:has(+br)]:pb-2"&gt;&lt;strong&gt;PBR Teams champion:&lt;/strong&gt;&amp;nbsp;1x with Carolina Cowboys.&lt;/p&gt;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[&amp;amp;_strong:has(+br)]:pb-2"&gt;&lt;strong&gt;Touring Pro Division champion:&lt;/strong&gt;&amp;nbsp;1x&lt;/p&gt;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[&amp;amp;_strong:has(+br)]:pb-2"&gt;Career headline stats on the site: 94-point career-high, 38 total event wins, 44 career 90-point rides, 540 outs, 260 rides, 48% ride percentage, over $4.45M in earnings.&lt;/p&gt;
&lt;/li&gt;
&lt;/ul&gt;
&lt;h2 id="style-background-and-persona" class="font-editorial font-bold mb-2 mt-4 [.has-inline-images_&amp;amp;]:clear-end text-lg first:mt-0 md:text-lg [hr+&amp;amp;]:mt-4"&gt;Style, background, and persona&lt;/h2&gt;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[&amp;amp;_strong:has(+br)]:pb-2"&gt;Raised on a 12,000-acre ranch in Montana; parents were rodeo competitors (bull/saddle bronc and barrel racing), and he started young on sheep, calves, then bulls.&lt;/p&gt;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[&amp;amp;_strong:has(+br)]:pb-2"&gt;Known for being technically sharp and mentally tough, with a very aggressive, competitive approach.&lt;/p&gt;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[&amp;amp;_strong:has(+br)]:pb-2"&gt;Has battled injuries and stepped away at times but returned to top form, including a big comeback win in Tampa in 2026 and a key role in Carolina Cowboys&amp;rsquo; 2025 Teams title.&lt;/p&gt;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[&amp;amp;_strong:has(+br)]:pb-2"&gt;Very ritual-oriented: keeps a cross necklace, sticks to the same competition-day meal, and uses &amp;ldquo;Thunderstruck&amp;rdquo; by AC/DC as his go-to hype song.&lt;/p&gt;
&lt;/li&gt;
&lt;/ul&gt;
&lt;h2 id="personality-notes" class="font-editorial font-bold mb-2 mt-4 [.has-inline-images_&amp;amp;]:clear-end text-lg first:mt-0 md:text-lg [hr+&amp;amp;]:mt-4"&gt;Personality notes&lt;/h2&gt;
&lt;ul class="marker:text-quiet list-disc pl-8"&gt;
&lt;li class="py-0 my-0 prose-p:pt-0 prose-p:mb-2 prose-p:my-0 [&amp;amp;&amp;gt;p]:pt-0 [&amp;amp;&amp;gt;p]:mb-2 [&amp;amp;&amp;gt;p]:my-0"&gt;
&lt;p class="my-2 [&amp;amp;+p]:mt-4 [&amp;amp;_strong:has(+br)]:inline-block [&amp;amp;_strong:has(+br)]:pb-2"&gt;Former high school wrestler with unusual flexibility early on (could do the splits), which helped his riding.&lt;/p&gt;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[&amp;amp;_strong:has(+br)]:pb-2"&gt;Invests in recovery and longevity (e.g., uses a biomedical feedback machine after pelvic surgery to train core engagement).&lt;/p&gt;
&lt;/li&gt;
&lt;li class="py-0 my-0 prose-p:pt-0 prose-p:mb-2 prose-p:my-0 [&amp;amp;&amp;gt;p]:pt-0 [&amp;amp;&amp;gt;p]:mb-2 [&amp;amp;&amp;gt;p]:my-0"&gt;
&lt;p class="my-2 [&amp;amp;+p]:mt-4 [&amp;amp;_strong:has(+br)]:inline-block [&amp;amp;_strong:has(+br)]:pb-2"&gt;Off the dirt he&amp;rsquo;s into music (played trumpet, choir, band kid, Turnpike Troubadours fan) and cites Forrest Gump as his favorite movie, which fits his keep-moving-forward mindset.&lt;/p&gt;
&lt;/li&gt;
&lt;/ul&gt;</t>
  </si>
  <si>
    <t>-</t>
  </si>
  <si>
    <t>2-0 (0)</t>
  </si>
  <si>
    <t>127 Bulldog(56214)</t>
  </si>
  <si>
    <t>Kase Hitt</t>
  </si>
  <si>
    <t>0.236 (6)</t>
  </si>
  <si>
    <t>UNKNOWN</t>
  </si>
  <si>
    <t>&lt;h2&gt;Rider&lt;/h2&gt;&lt;p&gt;&lt;strong&gt;Career:&amp;nbsp;&lt;/strong&gt;Career: 94 for 330 - &lt;span style="color: #ff0000;"&gt;&lt;em&gt;28.48%&lt;/em&gt;&lt;/span&gt; - Rider Rating: .183&lt;/p&gt;&lt;p&gt;&lt;strong&gt;Season:&amp;nbsp;&lt;/strong&gt;Rank&amp;nbsp;&lt;span style="color: #ff0000;"&gt;32&lt;/span&gt; (16 for 51 - &lt;em&gt;31.4%&lt;/em&gt;)&lt;em&gt;&lt;br /&gt;&lt;/em&gt;&lt;/p&gt;&lt;p&gt;&lt;strong&gt;Points:&amp;nbsp;&lt;/strong&gt;137.00 pts &lt;span style="color: #ff0000;"&gt;&lt;em&gt;(-690.5)&lt;/em&gt;&lt;/span&gt;&lt;/p&gt;&lt;p&gt;&lt;strong&gt;Earnings:&amp;nbsp;&lt;/strong&gt;&lt;span style="color: #008000;"&gt;&lt;em&gt;$49,517.31&lt;/em&gt;&lt;/span&gt;&lt;/p&gt;&lt;p&gt;&lt;strong&gt;Potential&lt;/strong&gt;:&amp;nbsp;83.31 to 89.31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</si>
  <si>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Fade</t>
  </si>
  <si>
    <t>1-1 (1)</t>
  </si>
  <si>
    <t>012 Crockett(56035)</t>
  </si>
  <si>
    <t>Julio Cesar Marques</t>
  </si>
  <si>
    <t>0.364 (6)</t>
  </si>
  <si>
    <t>Right</t>
  </si>
  <si>
    <t>&lt;h2&gt;Rider&lt;/h2&gt;&lt;p&gt;&lt;strong&gt;Career:&amp;nbsp;&lt;/strong&gt;Career: 126 for 328 - &lt;span style="color: #ff0000;"&gt;&lt;em&gt;38.41%&lt;/em&gt;&lt;/span&gt; - Rider Rating: *.269&lt;/p&gt;&lt;p&gt;&lt;strong&gt;Season:&amp;nbsp;&lt;/strong&gt;Rank&amp;nbsp;&lt;span style="color: #ff0000;"&gt;10&lt;/span&gt; (26 for 67 - &lt;em&gt;38.8%&lt;/em&gt;)&lt;em&gt;&lt;br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#008000;"&gt;&lt;em&gt;$125,660.26&lt;/em&gt;&lt;/span&gt;&lt;/p&gt;&lt;p&gt;&lt;strong&gt;Potential&lt;/strong&gt;:&amp;nbsp;85.96 to 91.96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</si>
  <si>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Pass</t>
  </si>
  <si>
    <t>3-1 (1)</t>
  </si>
  <si>
    <t>22-9 Kay Dog(55806)</t>
  </si>
  <si>
    <t>Kaiden Loud</t>
  </si>
  <si>
    <t>0.316 (6)</t>
  </si>
  <si>
    <t>&lt;h2&gt;Rider&lt;/h2&gt;&lt;p&gt;&lt;strong&gt;Career:&amp;nbsp;&lt;/strong&gt;Career: 110 for 273 - &lt;span style="color: #ff0000;"&gt;&lt;em&gt;40.29%&lt;/em&gt;&lt;/span&gt; - Rider Rating: *.295&lt;/p&gt;&lt;p&gt;&lt;strong&gt;Season:&amp;nbsp;&lt;/strong&gt;Rank&amp;nbsp;&lt;span style="color: #ff0000;"&gt;16&lt;/span&gt; (21 for 56 - &lt;em&gt;37.5%&lt;/em&gt;)&lt;em&gt;&lt;br /&gt;&lt;/em&gt;&lt;/p&gt;&lt;p&gt;&lt;strong&gt;Points:&amp;nbsp;&lt;/strong&gt;336.00 pts &lt;span style="color: #ff0000;"&gt;&lt;em&gt;(-491.5)&lt;/em&gt;&lt;/span&gt;&lt;/p&gt;&lt;p&gt;&lt;strong&gt;Earnings:&amp;nbsp;&lt;/strong&gt;&lt;span style="color: #008000;"&gt;&lt;em&gt;$96,890.29&lt;/em&gt;&lt;/span&gt;&lt;/p&gt;&lt;p&gt;&lt;strong&gt;Potential&lt;/strong&gt;:&amp;nbsp;83.9 to 89.9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</si>
  <si>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--</t>
  </si>
  <si>
    <t>497 MF Cupcake(56540)</t>
  </si>
  <si>
    <t>BSBL</t>
  </si>
  <si>
    <t>Mauricio Gulla Moreira</t>
  </si>
  <si>
    <t>0.234 (5)</t>
  </si>
  <si>
    <t>&lt;h2&gt;Rider&lt;/h2&gt;&lt;p&gt;&lt;strong&gt;Career:&amp;nbsp;&lt;/strong&gt;Career: 154 for 515 - &lt;span style="color: #ff0000;"&gt;&lt;em&gt;29.9%&lt;/em&gt;&lt;/span&gt; - Rider Rating: *.250&lt;/p&gt;&lt;p&gt;&lt;strong&gt;Season:&amp;nbsp;&lt;/strong&gt;Rank&amp;nbsp;&lt;span style="color: #ff0000;"&gt;38&lt;/span&gt; (21 for 70 - &lt;em&gt;30%&lt;/em&gt;)&lt;em&gt;&lt;br /&gt;&lt;/em&gt;&lt;/p&gt;&lt;p&gt;&lt;strong&gt;Points:&amp;nbsp;&lt;/strong&gt;86.00 pts &lt;span style="color: #ff0000;"&gt;&lt;em&gt;(-741.5)&lt;/em&gt;&lt;/span&gt;&lt;/p&gt;&lt;p&gt;&lt;strong&gt;Earnings:&amp;nbsp;&lt;/strong&gt;&lt;span style="color: #008000;"&gt;&lt;em&gt;$85,787.98&lt;/em&gt;&lt;/span&gt;&lt;/p&gt;&lt;p&gt;&lt;strong&gt;Potential&lt;/strong&gt;:&amp;nbsp;-1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</si>
  <si>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27-6 (2)</t>
  </si>
  <si>
    <t>W905 Wishful Thinking(48948)</t>
  </si>
  <si>
    <t>CWTZ</t>
  </si>
  <si>
    <t>Bob Mitchell</t>
  </si>
  <si>
    <t>0.401 (10)</t>
  </si>
  <si>
    <t>Rider 3.00%</t>
  </si>
  <si>
    <t>&lt;h2&gt;Rider&lt;/h2&gt;&lt;p&gt;&lt;strong&gt;Career:&amp;nbsp;&lt;/strong&gt;Career: 180 for 459 - &lt;span style="color: #ff0000;"&gt;&lt;em&gt;39.22%&lt;/em&gt;&lt;/span&gt; - Rider Rating: *.278&lt;/p&gt;&lt;p&gt;&lt;strong&gt;Season:&amp;nbsp;&lt;/strong&gt;Rank&amp;nbsp;&lt;span style="color: #ff0000;"&gt;17&lt;/span&gt; (31 for 59 - &lt;em&gt;52.5%&lt;/em&gt;)&lt;em&gt;&lt;br /&gt;&lt;/em&gt;&lt;/p&gt;&lt;p&gt;&lt;strong&gt;Points:&amp;nbsp;&lt;/strong&gt;303.00 pts &lt;span style="color: #ff0000;"&gt;&lt;em&gt;(-524.5)&lt;/em&gt;&lt;/span&gt;&lt;/p&gt;&lt;p&gt;&lt;strong&gt;Earnings:&amp;nbsp;&lt;/strong&gt;&lt;span style="color: #008000;"&gt;&lt;em&gt;$98,926.07&lt;/em&gt;&lt;/span&gt;&lt;/p&gt;&lt;p&gt;&lt;strong&gt;Potential&lt;/strong&gt;:&amp;nbsp;81.92 to 87.92 points&lt;/p&gt;&lt;p&gt;&amp;nbsp;&lt;/p&gt;&lt;p&gt;&lt;span style="text-decoration: underline;"&gt;&lt;strong&gt;Bull&lt;/strong&gt;&lt;/span&gt;&lt;/p&gt;&lt;p&gt;&lt;strong&gt;ALL:&lt;/strong&gt; 33 outs 6 rides - &lt;span style="color: #ff0000;"&gt;&lt;em&gt;81.82%&lt;/em&gt;&lt;/span&gt;&lt;/p&gt;&lt;p&gt;&lt;strong&gt;UTB:&lt;/strong&gt; 11 outs 4 rides - &lt;span style="color: #ff0000;"&gt;&lt;em&gt;63.64%&lt;/em&gt;&lt;/span&gt;&lt;/p&gt;&lt;p&gt;&lt;em&gt;&lt;span style="color: #ff0000;"&gt;*No Previous Matchups&lt;/span&gt;&lt;/em&gt;&lt;/p&gt;&lt;p&gt;&amp;nbsp;&lt;/p&gt;</t>
  </si>
  <si>
    <t>7-0 (0)</t>
  </si>
  <si>
    <t>W251 Kinky Brahmer(54839)</t>
  </si>
  <si>
    <t>Keyshawn Whitehorse</t>
  </si>
  <si>
    <t>0.323 (7)</t>
  </si>
  <si>
    <t>&lt;h2&gt;Rider&lt;/h2&gt;&lt;p&gt;&lt;strong&gt;Career:&amp;nbsp;&lt;/strong&gt;Career: 363 for 942 - &lt;span style="color: #ff0000;"&gt;&lt;em&gt;38.54%&lt;/em&gt;&lt;/span&gt; - Rider Rating: *.294&lt;/p&gt;&lt;p&gt;&lt;strong&gt;Season:&amp;nbsp;&lt;/strong&gt;Rank&amp;nbsp;&lt;span style="color: #ff0000;"&gt;9&lt;/span&gt; (34 for 69 - &lt;em&gt;49.3%&lt;/em&gt;)&lt;em&gt;&lt;br /&gt;&lt;/em&gt;&lt;/p&gt;&lt;p&gt;&lt;strong&gt;Points:&amp;nbsp;&lt;/strong&gt;405.00 pts &lt;span style="color: #ff0000;"&gt;&lt;em&gt;(-422.5)&lt;/em&gt;&lt;/span&gt;&lt;/p&gt;&lt;p&gt;&lt;strong&gt;Earnings:&amp;nbsp;&lt;/strong&gt;&lt;span style="color: #008000;"&gt;&lt;em&gt;$159,605.64&lt;/em&gt;&lt;/span&gt;&lt;/p&gt;&lt;p&gt;&lt;strong&gt;Potential&lt;/strong&gt;:&amp;nbsp;82.8 to 88.8 points&lt;/p&gt;&lt;p&gt;&amp;nbsp;&lt;/p&gt;&lt;p&gt;&lt;span style="text-decoration: underline;"&gt;&lt;strong&gt;Bull&lt;/strong&gt;&lt;/span&gt;&lt;/p&gt;&lt;p&gt;&lt;strong&gt;ALL:&lt;/strong&gt; 7 outs 0 rides - &lt;span style="color: #ff0000;"&gt;&lt;em&gt;100%&lt;/em&gt;&lt;/span&gt;&lt;/p&gt;&lt;p&gt;&lt;em&gt;&lt;span style="color: #ff0000;"&gt;*No Previous Matchups&lt;/span&gt;&lt;/em&gt;&lt;/p&gt;&lt;p&gt;&amp;nbsp;&lt;/p&gt;</t>
  </si>
  <si>
    <t>8-4 (1)</t>
  </si>
  <si>
    <t>J44 Cherry Shot(53968)</t>
  </si>
  <si>
    <t>FLNN</t>
  </si>
  <si>
    <t>Manoelito de Souza Junior</t>
  </si>
  <si>
    <t>0.314 (8)</t>
  </si>
  <si>
    <t>Rider 17.00%</t>
  </si>
  <si>
    <t>&lt;h2&gt;Rider&lt;/h2&gt;&lt;p&gt;&lt;strong&gt;Career:&amp;nbsp;&lt;/strong&gt;Career: 112 for 415 - &lt;span style="color: #ff0000;"&gt;&lt;em&gt;26.99%&lt;/em&gt;&lt;/span&gt; - Rider Rating: *.200&lt;/p&gt;&lt;p&gt;&lt;strong&gt;Season:&amp;nbsp;&lt;/strong&gt;Rank&amp;nbsp;&lt;span style="color: #ff0000;"&gt;35&lt;/span&gt; (6 for 26 - &lt;em&gt;23.1%&lt;/em&gt;)&lt;em&gt;&lt;br /&gt;&lt;/em&gt;&lt;/p&gt;&lt;p&gt;&lt;strong&gt;Points:&amp;nbsp;&lt;/strong&gt;112.00 pts &lt;span style="color: #ff0000;"&gt;&lt;em&gt;(-715.5)&lt;/em&gt;&lt;/span&gt;&lt;/p&gt;&lt;p&gt;&lt;strong&gt;Earnings:&amp;nbsp;&lt;/strong&gt;&lt;span style="color: #008000;"&gt;&lt;em&gt;$18,000.00&lt;/em&gt;&lt;/span&gt;&lt;/p&gt;&lt;p&gt;&lt;strong&gt;Potential&lt;/strong&gt;:&amp;nbsp;85.65 to 91.65 points&lt;/p&gt;&lt;p&gt;&amp;nbsp;&lt;/p&gt;&lt;p&gt;&lt;span style="text-decoration: underline;"&gt;&lt;strong&gt;Bull&lt;/strong&gt;&lt;/span&gt;&lt;/p&gt;&lt;p&gt;&lt;strong&gt;ALL:&lt;/strong&gt; 12 outs 4 rides - &lt;span style="color: #ff0000;"&gt;&lt;em&gt;66.67%&lt;/em&gt;&lt;/span&gt;&lt;/p&gt;&lt;p&gt;&lt;strong&gt;UTB:&lt;/strong&gt; 10 outs 3 rides - &lt;span style="color: #ff0000;"&gt;&lt;em&gt;70%&lt;/em&gt;&lt;/span&gt;&lt;/p&gt;&lt;p&gt;&lt;em&gt;&lt;span style="color: #ff0000;"&gt;*No Previous Matchups&lt;/span&gt;&lt;/em&gt;&lt;/p&gt;&lt;p&gt;&amp;nbsp;&lt;/p&gt;</t>
  </si>
  <si>
    <t>10-2 (1)</t>
  </si>
  <si>
    <t>17J Torched(53970)</t>
  </si>
  <si>
    <t>Leandro Zampollo</t>
  </si>
  <si>
    <t>0.401 (8)</t>
  </si>
  <si>
    <t>Rider 40.00%</t>
  </si>
  <si>
    <t>&lt;h2&gt;Rider&lt;/h2&gt;&lt;p&gt;&lt;strong&gt;Career:&amp;nbsp;&lt;/strong&gt;Career: 60 for 163 - &lt;span style="color: #ff0000;"&gt;&lt;em&gt;36.81%&lt;/em&gt;&lt;/span&gt; - Rider Rating: *.221&lt;/p&gt;&lt;p&gt;&lt;strong&gt;Season:&amp;nbsp;&lt;/strong&gt;Rank&amp;nbsp;&lt;span style="color: #ff0000;"&gt;3&lt;/span&gt; (24 for 38 - &lt;em&gt;63.2%&lt;/em&gt;)&lt;em&gt;&lt;br /&gt;&lt;/em&gt;&lt;/p&gt;&lt;p&gt;&lt;strong&gt;Points:&amp;nbsp;&lt;/strong&gt;595.50 pts &lt;span style="color: #ff0000;"&gt;&lt;em&gt;(-232)&lt;/em&gt;&lt;/span&gt;&lt;/p&gt;&lt;p&gt;&lt;strong&gt;Earnings:&amp;nbsp;&lt;/strong&gt;&lt;span style="color: #008000;"&gt;&lt;em&gt;$140,650.12&lt;/em&gt;&lt;/span&gt;&lt;/p&gt;&lt;p&gt;&lt;strong&gt;Potential&lt;/strong&gt;:&amp;nbsp;83.9 to 89.9 points&lt;/p&gt;&lt;p&gt;&amp;nbsp;&lt;/p&gt;&lt;p&gt;&lt;span style="text-decoration: underline;"&gt;&lt;strong&gt;Bull&lt;/strong&gt;&lt;/span&gt;&lt;/p&gt;&lt;p&gt;&lt;strong&gt;ALL:&lt;/strong&gt; 12 outs 2 rides - &lt;span style="color: #ff0000;"&gt;&lt;em&gt;83.33%&lt;/em&gt;&lt;/span&gt;&lt;/p&gt;&lt;p&gt;&lt;strong&gt;UTB:&lt;/strong&gt; 10 outs 2 rides - &lt;span style="color: #ff0000;"&gt;&lt;em&gt;80%&lt;/em&gt;&lt;/span&gt;&lt;/p&gt;&lt;p&gt;&lt;em&gt;&lt;span style="color: #ff0000;"&gt;*No Previous Matchups&lt;/span&gt;&lt;/em&gt;&lt;/p&gt;&lt;p&gt;&amp;nbsp;&lt;/p&gt;</t>
  </si>
  <si>
    <t>2-2 (2)</t>
  </si>
  <si>
    <t>46K Dirty Honey(56046)</t>
  </si>
  <si>
    <t>TFRS</t>
  </si>
  <si>
    <t>Paulo Eduardo Rossetto</t>
  </si>
  <si>
    <t>0.390 (6)</t>
  </si>
  <si>
    <t>&lt;h2&gt;Rider&lt;/h2&gt;&lt;p&gt;&lt;strong&gt;Career:&amp;nbsp;&lt;/strong&gt;Career: 141 for 331 - &lt;span style="color: #ff0000;"&gt;&lt;em&gt;42.6%&lt;/em&gt;&lt;/span&gt; - Rider Rating: *.313&lt;/p&gt;&lt;p&gt;&lt;strong&gt;Season:&amp;nbsp;&lt;/strong&gt;Rank&amp;nbsp;&lt;span style="color: #ff0000;"&gt;7&lt;/span&gt; (41 for 81 - &lt;em&gt;50.6%&lt;/em&gt;)&lt;em&gt;&lt;br /&gt;&lt;/em&gt;&lt;/p&gt;&lt;p&gt;&lt;strong&gt;Points:&amp;nbsp;&lt;/strong&gt;477.00 pts &lt;span style="color: #ff0000;"&gt;&lt;em&gt;(-350.5)&lt;/em&gt;&lt;/span&gt;&lt;/p&gt;&lt;p&gt;&lt;strong&gt;Earnings:&amp;nbsp;&lt;/strong&gt;&lt;span style="color: #008000;"&gt;&lt;em&gt;$231,144.68&lt;/em&gt;&lt;/span&gt;&lt;/p&gt;&lt;p&gt;&lt;strong&gt;Potential&lt;/strong&gt;:&amp;nbsp;85.48 to 91.48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</si>
  <si>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3-2 (2)</t>
  </si>
  <si>
    <t>24 Max Bet(54711)</t>
  </si>
  <si>
    <t>Alex Cerqueira</t>
  </si>
  <si>
    <t>0.506 (7)</t>
  </si>
  <si>
    <t>&lt;h2&gt;Rider&lt;/h2&gt;&lt;p&gt;&lt;strong&gt;Career:&amp;nbsp;&lt;/strong&gt;Career: 197 for 510 - &lt;span style="color: #ff0000;"&gt;&lt;em&gt;38.63%&lt;/em&gt;&lt;/span&gt; - Rider Rating: *.272&lt;/p&gt;&lt;p&gt;&lt;strong&gt;Season:&amp;nbsp;&lt;/strong&gt;Rank&amp;nbsp;&lt;span style="color: #ff0000;"&gt;5&lt;/span&gt; (33 for 63 - &lt;em&gt;52.4%&lt;/em&gt;)&lt;em&gt;&lt;br /&gt;&lt;/em&gt;&lt;/p&gt;&lt;p&gt;&lt;strong&gt;Points:&amp;nbsp;&lt;/strong&gt;502.50 pts &lt;span style="color: #ff0000;"&gt;&lt;em&gt;(-325)&lt;/em&gt;&lt;/span&gt;&lt;/p&gt;&lt;p&gt;&lt;strong&gt;Earnings:&amp;nbsp;&lt;/strong&gt;&lt;span style="color: #008000;"&gt;&lt;em&gt;$162,471.28&lt;/em&gt;&lt;/span&gt;&lt;/p&gt;&lt;p&gt;&lt;strong&gt;Potential&lt;/strong&gt;:&amp;nbsp;84.1 to 90.1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</si>
  <si>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32-16 (8)</t>
  </si>
  <si>
    <t>G15 Snap Chatter(47944)</t>
  </si>
  <si>
    <t>MSAM</t>
  </si>
  <si>
    <t>Luciano De Castro</t>
  </si>
  <si>
    <t>0.320 (10)</t>
  </si>
  <si>
    <t>Bull 26.00%</t>
  </si>
  <si>
    <t>RIGHT</t>
  </si>
  <si>
    <t>&lt;h2&gt;Rider&lt;/h2&gt;&lt;p&gt;&lt;strong&gt;Career:&amp;nbsp;&lt;/strong&gt;Career: 350 for 767 - &lt;span style="color: #ff0000;"&gt;&lt;em&gt;45.63%&lt;/em&gt;&lt;/span&gt; - Rider Rating: *.340&lt;/p&gt;&lt;p&gt;&lt;strong&gt;Season:&amp;nbsp;&lt;/strong&gt;Rank&amp;nbsp;&lt;span style="color: #ff0000;"&gt;18&lt;/span&gt; (33 for 71 - &lt;em&gt;46.5%&lt;/em&gt;)&lt;em&gt;&lt;br /&gt;&lt;/em&gt;&lt;/p&gt;&lt;p&gt;&lt;strong&gt;Points:&amp;nbsp;&lt;/strong&gt;249.00 pts &lt;span style="color: #ff0000;"&gt;&lt;em&gt;(-578.5)&lt;/em&gt;&lt;/span&gt;&lt;/p&gt;&lt;p&gt;&lt;strong&gt;Earnings:&amp;nbsp;&lt;/strong&gt;&lt;span style="color: #008000;"&gt;&lt;em&gt;$144,962.86&lt;/em&gt;&lt;/span&gt;&lt;/p&gt;&lt;p&gt;&lt;strong&gt;Potential&lt;/strong&gt;:&amp;nbsp;84.43 to 90.43 points&lt;/p&gt;&lt;p&gt;&amp;nbsp;&lt;/p&gt;&lt;p&gt;&lt;span style="text-decoration: underline;"&gt;&lt;strong&gt;Bull&lt;/strong&gt;&lt;/span&gt;&lt;/p&gt;&lt;p&gt;&lt;strong&gt;ALL:&lt;/strong&gt; 48 outs 16 rides - &lt;span style="color: #ff0000;"&gt;&lt;em&gt;66.67%&lt;/em&gt;&lt;/span&gt;&lt;/p&gt;&lt;p&gt;&lt;strong&gt;UTB:&lt;/strong&gt; 33 outs 15 rides - &lt;span style="color: #ff0000;"&gt;&lt;em&gt;54.55%&lt;/em&gt;&lt;/span&gt;&lt;/p&gt;&lt;p&gt;&lt;em&gt;&lt;span style="color: #ff0000;"&gt;Previous Matchup at Kansas City Oct '25 with a 4.01 second ride resulting in no score.&lt;/span&gt;&lt;/em&gt;&lt;/p&gt;&lt;p&gt;&amp;nbsp;&lt;/p&gt;</t>
  </si>
  <si>
    <t>122 Doctor Win(54869)</t>
  </si>
  <si>
    <t>Maverick Smith</t>
  </si>
  <si>
    <t>0.263 (6)</t>
  </si>
  <si>
    <t>&lt;h2&gt;Rider&lt;/h2&gt;&lt;p&gt;&lt;strong&gt;Career:&amp;nbsp;&lt;/strong&gt;Career: 124 for 370 - &lt;span style="color: #ff0000;"&gt;&lt;em&gt;33.51%&lt;/em&gt;&lt;/span&gt; - Rider Rating: *.224&lt;/p&gt;&lt;p&gt;&lt;strong&gt;Season:&amp;nbsp;&lt;/strong&gt;Rank&amp;nbsp;&lt;span style="color: #ff0000;"&gt;14&lt;/span&gt; (31 for 74 - &lt;em&gt;41.9%&lt;/em&gt;)&lt;em&gt;&lt;br /&gt;&lt;/em&gt;&lt;/p&gt;&lt;p&gt;&lt;strong&gt;Points:&amp;nbsp;&lt;/strong&gt;367.00 pts &lt;span style="color: #ff0000;"&gt;&lt;em&gt;(-460.5)&lt;/em&gt;&lt;/span&gt;&lt;/p&gt;&lt;p&gt;&lt;strong&gt;Earnings:&amp;nbsp;&lt;/strong&gt;&lt;span style="color: #008000;"&gt;&lt;em&gt;$167,209.13&lt;/em&gt;&lt;/span&gt;&lt;/p&gt;&lt;p&gt;&lt;strong&gt;Potential&lt;/strong&gt;:&amp;nbsp;86.15 to 92.15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</si>
  <si>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11-1 (1)</t>
  </si>
  <si>
    <t>25 Fury(52181)</t>
  </si>
  <si>
    <t>JCKP</t>
  </si>
  <si>
    <t>Hudson Bolton</t>
  </si>
  <si>
    <t>0.386 (8)</t>
  </si>
  <si>
    <t>Bull 17.00%</t>
  </si>
  <si>
    <t>&lt;h2&gt;Rider&lt;/h2&gt;&lt;p&gt;&lt;strong&gt;Career:&amp;nbsp;&lt;/strong&gt;Career: 137 for 257 - &lt;span style="color: #ff0000;"&gt;&lt;em&gt;53.31%&lt;/em&gt;&lt;/span&gt; - Rider Rating: *.362&lt;/p&gt;&lt;p&gt;&lt;strong&gt;Season:&amp;nbsp;&lt;/strong&gt;Rank&amp;nbsp;&lt;span style="color: #ff0000;"&gt;31&lt;/span&gt; (12 for 28 - &lt;em&gt;42.9%&lt;/em&gt;)&lt;em&gt;&lt;br /&gt;&lt;/em&gt;&lt;/p&gt;&lt;p&gt;&lt;strong&gt;Points:&amp;nbsp;&lt;/strong&gt;173.00 pts &lt;span style="color: #ff0000;"&gt;&lt;em&gt;(-654.5)&lt;/em&gt;&lt;/span&gt;&lt;/p&gt;&lt;p&gt;&lt;strong&gt;Earnings:&amp;nbsp;&lt;/strong&gt;&lt;span style="color: #008000;"&gt;&lt;em&gt;$61,468.24&lt;/em&gt;&lt;/span&gt;&lt;/p&gt;&lt;p&gt;&lt;strong&gt;Potential&lt;/strong&gt;:&amp;nbsp;84.6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12 outs 1 rides - &lt;span style="color: #ff0000;"&gt;&lt;em&gt;91.67%&lt;/em&gt;&lt;/span&gt;&lt;/p&gt;&lt;p&gt;&lt;em&gt;&lt;span style="color: #ff0000;"&gt;*No Previous Matchups&lt;/span&gt;&lt;/em&gt;&lt;/p&gt;&lt;p&gt;&amp;nbsp;&lt;/p&gt;</t>
  </si>
  <si>
    <t>18-9 (4)</t>
  </si>
  <si>
    <t>127 Lap Dancer(52572)</t>
  </si>
  <si>
    <t>Alex Junior da Silva</t>
  </si>
  <si>
    <t>0.324 (10)</t>
  </si>
  <si>
    <t>&lt;h2&gt;Rider&lt;/h2&gt;&lt;p&gt;&lt;strong&gt;Career:&amp;nbsp;&lt;/strong&gt;Career: 44 for 153 - &lt;span style="color: #ff0000;"&gt;&lt;em&gt;28.76%&lt;/em&gt;&lt;/span&gt; - Rider Rating: .162&lt;/p&gt;&lt;p&gt;&lt;strong&gt;Season:&amp;nbsp;&lt;/strong&gt;Rank&amp;nbsp;&lt;span style="color: #ff0000;"&gt;43&lt;/span&gt; (4 for 10 - &lt;em&gt;40%&lt;/em&gt;)&lt;em&gt;&lt;br /&gt;&lt;/em&gt;&lt;/p&gt;&lt;p&gt;&lt;strong&gt;Points:&amp;nbsp;&lt;/strong&gt;49.50 pts &lt;span style="color: #ff0000;"&gt;&lt;em&gt;(-778)&lt;/em&gt;&lt;/span&gt;&lt;/p&gt;&lt;p&gt;&lt;strong&gt;Earnings:&amp;nbsp;&lt;/strong&gt;&lt;span style="color: #008000;"&gt;&lt;em&gt;$3,775.00&lt;/em&gt;&lt;/span&gt;&lt;/p&gt;&lt;p&gt;&lt;strong&gt;Potential&lt;/strong&gt;:&amp;nbsp;84.55 to 90.55 points&lt;/p&gt;&lt;p&gt;&amp;nbsp;&lt;/p&gt;&lt;p&gt;&lt;span style="text-decoration: underline;"&gt;&lt;strong&gt;Bull&lt;/strong&gt;&lt;/span&gt;&lt;/p&gt;&lt;p&gt;&lt;strong&gt;ALL:&lt;/strong&gt; 27 outs 9 rides - &lt;span style="color: #ff0000;"&gt;&lt;em&gt;66.67%&lt;/em&gt;&lt;/span&gt;&lt;/p&gt;&lt;p&gt;&lt;strong&gt;UTB:&lt;/strong&gt; 21 outs 8 rides - &lt;span style="color: #ff0000;"&gt;&lt;em&gt;61.9%&lt;/em&gt;&lt;/span&gt;&lt;/p&gt;&lt;p&gt;&lt;em&gt;&lt;span style="color: #ff0000;"&gt;*No Previous Matchups&lt;/span&gt;&lt;/em&gt;&lt;/p&gt;&lt;p&gt;&amp;nbsp;&lt;/p&gt;</t>
  </si>
  <si>
    <t>13-0 (0)</t>
  </si>
  <si>
    <t>202 Humboldt(55061)</t>
  </si>
  <si>
    <t>PHNM</t>
  </si>
  <si>
    <t>Bruno Carvalho</t>
  </si>
  <si>
    <t>0.212 (8)</t>
  </si>
  <si>
    <t>&lt;h2&gt;Rider&lt;/h2&gt;&lt;p&gt;&lt;strong&gt;Career:&amp;nbsp;&lt;/strong&gt;Career: 70 for 217 - &lt;span style="color: #ff0000;"&gt;&lt;em&gt;32.26%&lt;/em&gt;&lt;/span&gt; - Rider Rating: .195&lt;/p&gt;&lt;p&gt;&lt;strong&gt;Season:&amp;nbsp;&lt;/strong&gt;Rank&amp;nbsp;&lt;span style="color: #ff0000;"&gt;41&lt;/span&gt; (9 for 32 - &lt;em&gt;28.1%&lt;/em&gt;)&lt;em&gt;&lt;br /&gt;&lt;/em&gt;&lt;/p&gt;&lt;p&gt;&lt;strong&gt;Points:&amp;nbsp;&lt;/strong&gt;71.50 pts &lt;span style="color: #ff0000;"&gt;&lt;em&gt;(-756)&lt;/em&gt;&lt;/span&gt;&lt;/p&gt;&lt;p&gt;&lt;strong&gt;Earnings:&amp;nbsp;&lt;/strong&gt;&lt;span style="color: #008000;"&gt;&lt;em&gt;$30,528.26&lt;/em&gt;&lt;/span&gt;&lt;/p&gt;&lt;p&gt;&lt;strong&gt;Potential&lt;/strong&gt;:&amp;nbsp;87.11 to 93.11 points&lt;/p&gt;&lt;p&gt;&amp;nbsp;&lt;/p&gt;&lt;p&gt;&lt;span style="text-decoration: underline;"&gt;&lt;strong&gt;Bull&lt;/strong&gt;&lt;/span&gt;&lt;/p&gt;&lt;p&gt;&lt;strong&gt;ALL:&lt;/strong&gt; 13 outs 0 rides - &lt;span style="color: #ff0000;"&gt;&lt;em&gt;100%&lt;/em&gt;&lt;/span&gt;&lt;/p&gt;&lt;p&gt;&lt;em&gt;&lt;span style="color: #ff0000;"&gt;*No Previous Matchups&lt;/span&gt;&lt;/em&gt;&lt;/p&gt;&lt;p&gt;&amp;nbsp;&lt;/p&gt;</t>
  </si>
  <si>
    <t>13-4 (4)</t>
  </si>
  <si>
    <t>219 Ghost Ship Warrior(54896)</t>
  </si>
  <si>
    <t>Mason Taylor</t>
  </si>
  <si>
    <t>0.254 (9)</t>
  </si>
  <si>
    <t>Bull 50.00%</t>
  </si>
  <si>
    <t>&lt;h2&gt;Rider&lt;/h2&gt;&lt;p&gt;&lt;strong&gt;Career:&amp;nbsp;&lt;/strong&gt;Career: 235 for 691 - &lt;span style="color: #ff0000;"&gt;&lt;em&gt;34.01%&lt;/em&gt;&lt;/span&gt; - Rider Rating: *.250&lt;/p&gt;&lt;p&gt;&lt;strong&gt;Season:&amp;nbsp;&lt;/strong&gt;Rank&amp;nbsp;&lt;span style="color: #ff0000;"&gt;51&lt;/span&gt; (3 for 26 - &lt;em&gt;11.5%&lt;/em&gt;)&lt;em&gt;&lt;br /&gt;&lt;/em&gt;&lt;/p&gt;&lt;p&gt;&lt;strong&gt;Points:&amp;nbsp;&lt;/strong&gt;16.00 pts &lt;span style="color: #ff0000;"&gt;&lt;em&gt;(-811.5)&lt;/em&gt;&lt;/span&gt;&lt;/p&gt;&lt;p&gt;&lt;strong&gt;Earnings:&amp;nbsp;&lt;/strong&gt;&lt;span style="color: #008000;"&gt;&lt;em&gt;$27,939.34&lt;/em&gt;&lt;/span&gt;&lt;/p&gt;&lt;p&gt;&lt;strong&gt;Potential&lt;/strong&gt;:&amp;nbsp;86.8 to 92.8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#ff0000;"&gt;&lt;em&gt;76.47%&lt;/em&gt;&lt;/span&gt;&lt;/p&gt;&lt;p&gt;&lt;strong&gt;UTB:&lt;/strong&gt; 6 outs 3 rides - &lt;span style="color: #ff0000;"&gt;&lt;em&gt;50%&lt;/em&gt;&lt;/span&gt;&lt;/p&gt;&lt;p&gt;&lt;em&gt;&lt;span style="color: #ff0000;"&gt;*No Previous Matchups&lt;/span&gt;&lt;/em&gt;&lt;/p&gt;&lt;p&gt;&amp;nbsp;&lt;/p&gt;</t>
  </si>
  <si>
    <t>27-4 (2)</t>
  </si>
  <si>
    <t>-117 Back in Black(52731)</t>
  </si>
  <si>
    <t>Marco Rizzo</t>
  </si>
  <si>
    <t>0.244 (10)</t>
  </si>
  <si>
    <t>Bull 25.00%</t>
  </si>
  <si>
    <t>&lt;h2&gt;Rider&lt;/h2&gt;&lt;p&gt;&lt;strong&gt;Career:&amp;nbsp;&lt;/strong&gt;Career: 61 for 175 - &lt;span style="color: #ff0000;"&gt;&lt;em&gt;34.86%&lt;/em&gt;&lt;/span&gt; - Rider Rating: *.218&lt;/p&gt;&lt;p&gt;&lt;strong&gt;Season:&amp;nbsp;&lt;/strong&gt;Rank&amp;nbsp;&lt;span style="color: #ff0000;"&gt;10&lt;/span&gt; (26 for 69 - &lt;em&gt;37.7%&lt;/em&gt;)&lt;em&gt;&lt;br /&gt;&lt;/em&gt;&lt;/p&gt;&lt;p&gt;&lt;strong&gt;Points:&amp;nbsp;&lt;/strong&gt;392.00 pts &lt;span style="color: #ff0000;"&gt;&lt;em&gt;(-435.5)&lt;/em&gt;&lt;/span&gt;&lt;/p&gt;&lt;p&gt;&lt;strong&gt;Earnings:&amp;nbsp;&lt;/strong&gt;&lt;span style="color: #008000;"&gt;&lt;em&gt;$143,065.82&lt;/em&gt;&lt;/span&gt;&lt;/p&gt;&lt;p&gt;&lt;strong&gt;Potential&lt;/strong&gt;:&amp;nbsp;85.09 to 91.09 points&lt;/p&gt;&lt;p&gt;&amp;nbsp;&lt;/p&gt;&lt;p&gt;&lt;span style="text-decoration: underline;"&gt;&lt;strong&gt;Bull&lt;/strong&gt;&lt;/span&gt;&lt;/p&gt;&lt;p&gt;&lt;strong&gt;ALL:&lt;/strong&gt; 31 outs 4 rides - &lt;span style="color: #ff0000;"&gt;&lt;em&gt;87.1%&lt;/em&gt;&lt;/span&gt;&lt;/p&gt;&lt;p&gt;&lt;strong&gt;UTB:&lt;/strong&gt;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</si>
  <si>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3 Rack ‘em Willie(56541)</t>
  </si>
  <si>
    <t>John Crimber</t>
  </si>
  <si>
    <t>0.543 (5)</t>
  </si>
  <si>
    <t>&lt;h2&gt;Rider&lt;/h2&gt;&lt;p&gt;&lt;strong&gt;Career:&amp;nbsp;&lt;/strong&gt;Career: 226 for 376 - &lt;span style="color: #ff0000;"&gt;&lt;em&gt;60.11%&lt;/em&gt;&lt;/span&gt; - Rider Rating: *.428&lt;/p&gt;&lt;p&gt;&lt;strong&gt;Season:&amp;nbsp;&lt;/strong&gt;Rank&amp;nbsp;&lt;span style="color: #ff0000;"&gt;1&lt;/span&gt; (52 for 79 - &lt;em&gt;65.8%&lt;/em&gt;)&lt;em&gt;&lt;br /&gt;&lt;/em&gt;&lt;/p&gt;&lt;p&gt;&lt;strong&gt;Points:&amp;nbsp;&lt;/strong&gt;827.50 pts &lt;span style="color: #ff0000;"&gt;&lt;em&gt;(-0)&lt;/em&gt;&lt;/span&gt;&lt;/p&gt;&lt;p&gt;&lt;strong&gt;Earnings:&amp;nbsp;&lt;/strong&gt;&lt;span style="color: #008000;"&gt;&lt;em&gt;$439,789.21&lt;/em&gt;&lt;/span&gt;&lt;/p&gt;&lt;p&gt;&lt;strong&gt;Potential&lt;/strong&gt;:&amp;nbsp;-1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</si>
  <si>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0-2 (1)</t>
  </si>
  <si>
    <t>60/1 Wild Country(55423)</t>
  </si>
  <si>
    <t>Eduardo Aparecido</t>
  </si>
  <si>
    <t>0.441 (6)</t>
  </si>
  <si>
    <t>&lt;h2&gt;Rider&lt;/h2&gt;&lt;p&gt;&lt;strong&gt;Career:&amp;nbsp;&lt;/strong&gt;Career: 495 for 1132 - &lt;span style="color: #ff0000;"&gt;&lt;em&gt;43.73%&lt;/em&gt;&lt;/span&gt; - Rider Rating: *.360&lt;/p&gt;&lt;p&gt;&lt;strong&gt;Season:&amp;nbsp;&lt;/strong&gt;Rank&amp;nbsp;&lt;span style="color: #ff0000;"&gt;29&lt;/span&gt; (30 for 70 - &lt;em&gt;42.9%&lt;/em&gt;)&lt;em&gt;&lt;br /&gt;&lt;/em&gt;&lt;/p&gt;&lt;p&gt;&lt;strong&gt;Points:&amp;nbsp;&lt;/strong&gt;181.00 pts &lt;span style="color: #ff0000;"&gt;&lt;em&gt;(-646.5)&lt;/em&gt;&lt;/span&gt;&lt;/p&gt;&lt;p&gt;&lt;strong&gt;Earnings:&amp;nbsp;&lt;/strong&gt;&lt;span style="color: #008000;"&gt;&lt;em&gt;$133,422.04&lt;/em&gt;&lt;/span&gt;&lt;/p&gt;&lt;p&gt;&lt;strong&gt;Potential&lt;/strong&gt;:&amp;nbsp;83.75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</si>
  <si>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1-1 (0)</t>
  </si>
  <si>
    <t>222 Triple Trouble(55889)</t>
  </si>
  <si>
    <t>Brady Fielder</t>
  </si>
  <si>
    <t>0.469 (6)</t>
  </si>
  <si>
    <t>&lt;h2&gt;Rider&lt;/h2&gt;&lt;p&gt;&lt;strong&gt;Career:&amp;nbsp;&lt;/strong&gt;Career: 239 for 472 - &lt;span style="color: #ff0000;"&gt;&lt;em&gt;50.64%&lt;/em&gt;&lt;/span&gt; - Rider Rating: *.367&lt;/p&gt;&lt;p&gt;&lt;strong&gt;Season:&amp;nbsp;&lt;/strong&gt;Rank&amp;nbsp;&lt;span style="color: #ff0000;"&gt;4&lt;/span&gt; (49 for 82 - &lt;em&gt;59.8%&lt;/em&gt;)&lt;em&gt;&lt;br /&gt;&lt;/em&gt;&lt;/p&gt;&lt;p&gt;&lt;strong&gt;Points:&amp;nbsp;&lt;/strong&gt;593.00 pts &lt;span style="color: #ff0000;"&gt;&lt;em&gt;(-234.5)&lt;/em&gt;&lt;/span&gt;&lt;/p&gt;&lt;p&gt;&lt;strong&gt;Earnings:&amp;nbsp;&lt;/strong&gt;&lt;span style="color: #008000;"&gt;&lt;em&gt;$367,786.95&lt;/em&gt;&lt;/span&gt;&lt;/p&gt;&lt;p&gt;&lt;strong&gt;Potential&lt;/strong&gt;:&amp;nbsp;81.9 to 87.9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</si>
  <si>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4-1 (1)</t>
  </si>
  <si>
    <t>D9 Bear Cat(55691)</t>
  </si>
  <si>
    <t>Claudio Montanha Jr.</t>
  </si>
  <si>
    <t>0.430 (7)</t>
  </si>
  <si>
    <t>&lt;h2&gt;Rider&lt;/h2&gt;&lt;p&gt;&lt;strong&gt;Career:&amp;nbsp;&lt;/strong&gt;Career: 334 for 865 - &lt;span style="color: #ff0000;"&gt;&lt;em&gt;38.61%&lt;/em&gt;&lt;/span&gt; - Rider Rating: *.272&lt;/p&gt;&lt;p&gt;&lt;strong&gt;Season:&amp;nbsp;&lt;/strong&gt;Rank&amp;nbsp;&lt;span style="color: #ff0000;"&gt;12&lt;/span&gt; (34 for 67 - &lt;em&gt;50.7%&lt;/em&gt;)&lt;em&gt;&lt;br /&gt;&lt;/em&gt;&lt;/p&gt;&lt;p&gt;&lt;strong&gt;Points:&amp;nbsp;&lt;/strong&gt;389.00 pts &lt;span style="color: #ff0000;"&gt;&lt;em&gt;(-438.5)&lt;/em&gt;&lt;/span&gt;&lt;/p&gt;&lt;p&gt;&lt;strong&gt;Earnings:&amp;nbsp;&lt;/strong&gt;&lt;span style="color: #008000;"&gt;&lt;em&gt;$164,425.45&lt;/em&gt;&lt;/span&gt;&lt;/p&gt;&lt;p&gt;&lt;strong&gt;Potential&lt;/strong&gt;:&amp;nbsp;85.02 to 91.02 points&lt;/p&gt;&lt;p&gt;&amp;nbsp;&lt;/p&gt;&lt;p&gt;&lt;span style="text-decoration: underline;"&gt;&lt;strong&gt;Bull&lt;/strong&gt;&lt;/span&gt;&lt;/p&gt;&lt;p&gt;&lt;strong&gt;ALL:&lt;/strong&gt; 5 outs 1 rides - &lt;span style="color: #ff0000;"&gt;&lt;em&gt;80%&lt;/em&gt;&lt;/span&gt;&lt;/p&gt;&lt;p&gt;&lt;em&gt;&lt;span style="color: #ff0000;"&gt;*No Previous Matchups&lt;/span&gt;&lt;/em&gt;&lt;/p&gt;&lt;p&gt;&amp;nbsp;&lt;/p&gt;</t>
  </si>
  <si>
    <t>12-2 (1)</t>
  </si>
  <si>
    <t>024 Wild Child(50890)</t>
  </si>
  <si>
    <t>HNH</t>
  </si>
  <si>
    <t>Trace Redd</t>
  </si>
  <si>
    <t>0.226 (8)</t>
  </si>
  <si>
    <t>Rider 25.00%</t>
  </si>
  <si>
    <t>&lt;h2&gt;Rider&lt;/h2&gt;&lt;p&gt;&lt;strong&gt;Career:&amp;nbsp;&lt;/strong&gt;Career: 63 for 235 - &lt;span style="color: #ff0000;"&gt;&lt;em&gt;26.81%&lt;/em&gt;&lt;/span&gt; - Rider Rating: .167&lt;/p&gt;&lt;p&gt;&lt;strong&gt;Season:&amp;nbsp;&lt;/strong&gt;Rank&amp;nbsp;&lt;span style="color: #ff0000;"&gt;37&lt;/span&gt; (5 for 22 - &lt;em&gt;22.7%&lt;/em&gt;)&lt;em&gt;&lt;br /&gt;&lt;/em&gt;&lt;/p&gt;&lt;p&gt;&lt;strong&gt;Points:&amp;nbsp;&lt;/strong&gt;87.00 pts &lt;span style="color: #ff0000;"&gt;&lt;em&gt;(-740.5)&lt;/em&gt;&lt;/span&gt;&lt;/p&gt;&lt;p&gt;&lt;strong&gt;Earnings:&amp;nbsp;&lt;/strong&gt;&lt;span style="color: #008000;"&gt;&lt;em&gt;$46,106.47&lt;/em&gt;&lt;/span&gt;&lt;/p&gt;&lt;p&gt;&lt;strong&gt;Potential&lt;/strong&gt;:&amp;nbsp;84.56 to 90.56 points&lt;/p&gt;&lt;p&gt;&amp;nbsp;&lt;/p&gt;&lt;p&gt;&lt;span style="text-decoration: underline;"&gt;&lt;strong&gt;Bull&lt;/strong&gt;&lt;/span&gt;&lt;/p&gt;&lt;p&gt;&lt;strong&gt;ALL:&lt;/strong&gt; 14 outs 2 rides - &lt;span style="color: #ff0000;"&gt;&lt;em&gt;85.71%&lt;/em&gt;&lt;/span&gt;&lt;/p&gt;&lt;p&gt;&lt;em&gt;&lt;span style="color: #ff0000;"&gt;Previous Matchup at Minot Nov '25 for 4.78 seconds resulting in no score&lt;/span&gt;&lt;/em&gt;&lt;/p&gt;&lt;p&gt;&amp;nbsp;&lt;/p&gt;</t>
  </si>
  <si>
    <t>3-0 (0)</t>
  </si>
  <si>
    <t>2221 Wingman(56045)</t>
  </si>
  <si>
    <t>Daniel Keeping</t>
  </si>
  <si>
    <t>0.294 (6)</t>
  </si>
  <si>
    <t>&lt;h2&gt;Rider&lt;/h2&gt;&lt;p&gt;&lt;strong&gt;Career:&amp;nbsp;&lt;/strong&gt;Career: 161 for 415 - &lt;span style="color: #ff0000;"&gt;&lt;em&gt;38.8%&lt;/em&gt;&lt;/span&gt; - Rider Rating: *.274&lt;/p&gt;&lt;p&gt;&lt;strong&gt;Season:&amp;nbsp;&lt;/strong&gt;Rank&amp;nbsp;&lt;span style="color: #ff0000;"&gt;19&lt;/span&gt; (32 for 69 - &lt;em&gt;46.4%&lt;/em&gt;)&lt;em&gt;&lt;br /&gt;&lt;/em&gt;&lt;/p&gt;&lt;p&gt;&lt;strong&gt;Points:&amp;nbsp;&lt;/strong&gt;247.00 pts &lt;span style="color: #ff0000;"&gt;&lt;em&gt;(-580.5)&lt;/em&gt;&lt;/span&gt;&lt;/p&gt;&lt;p&gt;&lt;strong&gt;Earnings:&amp;nbsp;&lt;/strong&gt;&lt;span style="color: #008000;"&gt;&lt;em&gt;$146,193.44&lt;/em&gt;&lt;/span&gt;&lt;/p&gt;&lt;p&gt;&lt;strong&gt;Potential&lt;/strong&gt;:&amp;nbsp;81.4 to 87.4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</si>
  <si>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4-9 (7)</t>
  </si>
  <si>
    <t>002 I Hate You(52122)</t>
  </si>
  <si>
    <t>HKNW</t>
  </si>
  <si>
    <t>Jose Vitor Leme</t>
  </si>
  <si>
    <t>0.545 (8)</t>
  </si>
  <si>
    <t>Bull 75.00%</t>
  </si>
  <si>
    <t>&lt;h2&gt;Rider&lt;/h2&gt;&lt;p&gt;&lt;strong&gt;Career:&amp;nbsp;&lt;/strong&gt;Career: 432 for 696 - &lt;span style="color: #ff0000;"&gt;&lt;em&gt;62.07%&lt;/em&gt;&lt;/span&gt; - Rider Rating: *.548&lt;/p&gt;&lt;p&gt;&lt;strong&gt;Season:&amp;nbsp;&lt;/strong&gt;Rank&amp;nbsp;&lt;span style="color: #ff0000;"&gt;28&lt;/span&gt; (22 for 41 - &lt;em&gt;53.7%&lt;/em&gt;)&lt;em&gt;&lt;br /&gt;&lt;/em&gt;&lt;/p&gt;&lt;p&gt;&lt;strong&gt;Points:&amp;nbsp;&lt;/strong&gt;181.50 pts &lt;span style="color: #ff0000;"&gt;&lt;em&gt;(-646)&lt;/em&gt;&lt;/span&gt;&lt;/p&gt;&lt;p&gt;&lt;strong&gt;Earnings:&amp;nbsp;&lt;/strong&gt;&lt;span style="color: #008000;"&gt;&lt;em&gt;$100,010.99&lt;/em&gt;&lt;/span&gt;&lt;/p&gt;&lt;p&gt;&lt;strong&gt;Potential&lt;/strong&gt;:&amp;nbsp;83.05 to 89.05 points&lt;/p&gt;&lt;p&gt;&amp;nbsp;&lt;/p&gt;&lt;p&gt;&lt;span style="text-decoration: underline;"&gt;&lt;strong&gt;Bull&lt;/strong&gt;&lt;/span&gt;&lt;/p&gt;&lt;p&gt;&lt;strong&gt;ALL:&lt;/strong&gt; 13 outs 9 rides - &lt;span style="color: #ff0000;"&gt;&lt;em&gt;30.77%&lt;/em&gt;&lt;/span&gt;&lt;/p&gt;&lt;p&gt;&lt;strong&gt;UTB:&lt;/strong&gt; 13 outs 9 rides - &lt;span style="color: #ff0000;"&gt;&lt;em&gt;30.77%&lt;/em&gt;&lt;/span&gt;&lt;/p&gt;&lt;p&gt;&lt;em&gt;&lt;span style="color: #ff0000;"&gt;*No Previous Matchups&lt;/span&gt;&lt;/em&gt;&lt;/p&gt;&lt;p&gt;&amp;nbsp;&lt;/p&gt;</t>
  </si>
  <si>
    <t>238 Frankenstomp(56542)</t>
  </si>
  <si>
    <t>Cort McFadden</t>
  </si>
  <si>
    <t>0.331 (5)</t>
  </si>
  <si>
    <t>&lt;h2&gt;Rider&lt;/h2&gt;&lt;p&gt;&lt;strong&gt;Career:&amp;nbsp;&lt;/strong&gt;Career: 128 for 282 - &lt;span style="color: #ff0000;"&gt;&lt;em&gt;45.39%&lt;/em&gt;&lt;/span&gt; - Rider Rating: *.325&lt;/p&gt;&lt;p&gt;&lt;strong&gt;Season:&amp;nbsp;&lt;/strong&gt;Rank&amp;nbsp;&lt;span style="color: #ff0000;"&gt;13&lt;/span&gt; (30 for 62 - &lt;em&gt;48.4%&lt;/em&gt;)&lt;em&gt;&lt;br /&gt;&lt;/em&gt;&lt;/p&gt;&lt;p&gt;&lt;strong&gt;Points:&amp;nbsp;&lt;/strong&gt;377.00 pts &lt;span style="color: #ff0000;"&gt;&lt;em&gt;(-450.5)&lt;/em&gt;&lt;/span&gt;&lt;/p&gt;&lt;p&gt;&lt;strong&gt;Earnings:&amp;nbsp;&lt;/strong&gt;&lt;span style="color: #008000;"&gt;&lt;em&gt;$120,727.18&lt;/em&gt;&lt;/span&gt;&lt;/p&gt;&lt;p&gt;&lt;strong&gt;Potential&lt;/strong&gt;:&amp;nbsp;-1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</si>
  <si>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36-5 (2)</t>
  </si>
  <si>
    <t>316 Spice(45407)</t>
  </si>
  <si>
    <t>TBKR</t>
  </si>
  <si>
    <t>Jadon Hayes</t>
  </si>
  <si>
    <t>0.143 (10)</t>
  </si>
  <si>
    <t>Bull 19.00%</t>
  </si>
  <si>
    <t>&lt;h2&gt;Rider&lt;/h2&gt;&lt;p&gt;&lt;strong&gt;Career:&amp;nbsp;&lt;/strong&gt;Career: 11 for 53 - &lt;span style="color: #ff0000;"&gt;&lt;em&gt;20.75%&lt;/em&gt;&lt;/span&gt; - Rider Rating: .119&lt;/p&gt;&lt;p&gt;&lt;strong&gt;Season:&amp;nbsp;&lt;/strong&gt;Rank&amp;nbsp;&lt;span style="color: #ff0000;"&gt;55&lt;/span&gt; (1 for 3 - &lt;em&gt;33.3%&lt;/em&gt;)&lt;em&gt;&lt;br /&gt;&lt;/em&gt;&lt;/p&gt;&lt;p&gt;&lt;strong&gt;Points:&amp;nbsp;&lt;/strong&gt;11.00 pts &lt;span style="color: #ff0000;"&gt;&lt;em&gt;(-816.5)&lt;/em&gt;&lt;/span&gt;&lt;/p&gt;&lt;p&gt;&lt;strong&gt;Earnings:&amp;nbsp;&lt;/strong&gt;&lt;span style="color: #008000;"&gt;&lt;em&gt;$450.00&lt;/em&gt;&lt;/span&gt;&lt;/p&gt;&lt;p&gt;&lt;strong&gt;Potential&lt;/strong&gt;:&amp;nbsp;84.23 to 90.23 points&lt;/p&gt;&lt;p&gt;&amp;nbsp;&lt;/p&gt;&lt;p&gt;&lt;span style="text-decoration: underline;"&gt;&lt;strong&gt;Bull&lt;/strong&gt;&lt;/span&gt;&lt;/p&gt;&lt;p&gt;&lt;strong&gt;ALL:&lt;/strong&gt; 41 outs 5 rides - &lt;span style="color: #ff0000;"&gt;&lt;em&gt;87.8%&lt;/em&gt;&lt;/span&gt;&lt;/p&gt;&lt;p&gt;&lt;strong&gt;UTB:&lt;/strong&gt; 28 outs 4 rides - &lt;span style="color: #ff0000;"&gt;&lt;em&gt;85.71%&lt;/em&gt;&lt;/span&gt;&lt;/p&gt;&lt;p&gt;&lt;em&gt;&lt;span style="color: #ff0000;"&gt;*No Previous Matchups&lt;/span&gt;&lt;/em&gt;&lt;/p&gt;&lt;p&gt;&amp;nbsp;&lt;/p&gt;</t>
  </si>
  <si>
    <t>13-4 (0)</t>
  </si>
  <si>
    <t>901 The Gambler(48463)</t>
  </si>
  <si>
    <t>BGR</t>
  </si>
  <si>
    <t>Joao Ricardo Vieira</t>
  </si>
  <si>
    <t>0.304 (9)</t>
  </si>
  <si>
    <t>Bull 5.00%</t>
  </si>
  <si>
    <t>&lt;h2&gt;Rider&lt;/h2&gt;&lt;p&gt;&lt;strong&gt;Career:&amp;nbsp;&lt;/strong&gt;Career: 599 for 1321 - &lt;span style="color: #ff0000;"&gt;&lt;em&gt;45.34%&lt;/em&gt;&lt;/span&gt; - Rider Rating: *.358&lt;/p&gt;&lt;p&gt;&lt;strong&gt;Season:&amp;nbsp;&lt;/strong&gt;Rank&amp;nbsp;&lt;span style="color: #ff0000;"&gt;36&lt;/span&gt; (18 for 50 - &lt;em&gt;36%&lt;/em&gt;)&lt;em&gt;&lt;br /&gt;&lt;/em&gt;&lt;/p&gt;&lt;p&gt;&lt;strong&gt;Points:&amp;nbsp;&lt;/strong&gt;92.50 pts &lt;span style="color: #ff0000;"&gt;&lt;em&gt;(-735)&lt;/em&gt;&lt;/span&gt;&lt;/p&gt;&lt;p&gt;&lt;strong&gt;Earnings:&amp;nbsp;&lt;/strong&gt;&lt;span style="color: #008000;"&gt;&lt;em&gt;$83,139.62&lt;/em&gt;&lt;/span&gt;&lt;/p&gt;&lt;p&gt;&lt;strong&gt;Potential&lt;/strong&gt;:&amp;nbsp;82 to 88 points&lt;/p&gt;&lt;p&gt;&amp;nbsp;&lt;/p&gt;&lt;p&gt;&lt;span style="text-decoration: underline;"&gt;&lt;strong&gt;Bull&lt;/strong&gt;&lt;/span&gt;&lt;/p&gt;&lt;p&gt;&lt;strong&gt;ALL:&lt;/strong&gt; 17 outs 4 rides - &lt;span style="color: #ff0000;"&gt;&lt;em&gt;76.47%&lt;/em&gt;&lt;/span&gt;&lt;/p&gt;&lt;p&gt;&lt;em&gt;&lt;span style="color: #ff0000;"&gt;*No Previous Matchups&lt;/span&gt;&lt;/em&gt;&lt;/p&gt;&lt;p&gt;&amp;nbsp;&lt;/p&gt;</t>
  </si>
  <si>
    <t>X1 Battle Tested(53635)</t>
  </si>
  <si>
    <t>TRN</t>
  </si>
  <si>
    <t>Macaulie Leather</t>
  </si>
  <si>
    <t>0.298 (6)</t>
  </si>
  <si>
    <t>&lt;h2&gt;Rider&lt;/h2&gt;&lt;p&gt;&lt;strong&gt;Career:&amp;nbsp;&lt;/strong&gt;Career: 33 for 78 - &lt;span style="color: #ff0000;"&gt;&lt;em&gt;42.31%&lt;/em&gt;&lt;/span&gt; - Rider Rating: *.226&lt;/p&gt;&lt;p&gt;&lt;strong&gt;Season:&amp;nbsp;&lt;/strong&gt;Rank&amp;nbsp;&lt;span style="color: #ff0000;"&gt;65&lt;/span&gt; (4 for 25 - &lt;em&gt;16%&lt;/em&gt;)&lt;em&gt;&lt;br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#008000;"&gt;&lt;em&gt;$68,632.98&lt;/em&gt;&lt;/span&gt;&lt;/p&gt;&lt;p&gt;&lt;strong&gt;Potential&lt;/strong&gt;:&amp;nbsp;85.33 to 91.33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</si>
  <si>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911 Swamp Donkey(56345)</t>
  </si>
  <si>
    <t>Natanael Serra Aires</t>
  </si>
  <si>
    <t>0.193 (6)</t>
  </si>
  <si>
    <t>&lt;h2&gt;Rider&lt;/h2&gt;&lt;p&gt;&lt;strong&gt;Career:&amp;nbsp;&lt;/strong&gt;Career: 5 for 42 - &lt;span style="color: #ff0000;"&gt;&lt;em&gt;11.9%&lt;/em&gt;&lt;/span&gt; - Rider Rating: unrated&lt;/p&gt;&lt;p&gt;&lt;strong&gt;Season:&amp;nbsp;&lt;/strong&gt;Rank&amp;nbsp;&lt;span style="color: #ff0000;"&gt;65&lt;/span&gt; (2 for 17 - &lt;em&gt;11.8%&lt;/em&gt;)&lt;em&gt;&lt;br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#008000;"&gt;&lt;em&gt;$33,036.89&lt;/em&gt;&lt;/span&gt;&lt;/p&gt;&lt;p&gt;&lt;strong&gt;Potential&lt;/strong&gt;:&amp;nbsp;83.7 to 89.7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</si>
  <si>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3-1 (0)</t>
  </si>
  <si>
    <t>236 Slim Pickens(55084)</t>
  </si>
  <si>
    <t>Sage Kimzey</t>
  </si>
  <si>
    <t>0.405 (6)</t>
  </si>
  <si>
    <t>&lt;h2&gt;Rider&lt;/h2&gt;&lt;p&gt;&lt;strong&gt;Career:&amp;nbsp;&lt;/strong&gt;Career: 767 for 1242 - &lt;span style="color: #ff0000;"&gt;&lt;em&gt;61.76%&lt;/em&gt;&lt;/span&gt; - Rider Rating: *.463&lt;/p&gt;&lt;p&gt;&lt;strong&gt;Season:&amp;nbsp;&lt;/strong&gt;Rank&amp;nbsp;&lt;span style="color: #ff0000;"&gt;2&lt;/span&gt; (40 for 70 - &lt;em&gt;57.1%&lt;/em&gt;)&lt;em&gt;&lt;br /&gt;&lt;/em&gt;&lt;/p&gt;&lt;p&gt;&lt;strong&gt;Points:&amp;nbsp;&lt;/strong&gt;679.00 pts &lt;span style="color: #ff0000;"&gt;&lt;em&gt;(-148.5)&lt;/em&gt;&lt;/span&gt;&lt;/p&gt;&lt;p&gt;&lt;strong&gt;Earnings:&amp;nbsp;&lt;/strong&gt;&lt;span style="color: #008000;"&gt;&lt;em&gt;$280,037.89&lt;/em&gt;&lt;/span&gt;&lt;/p&gt;&lt;p&gt;&lt;strong&gt;Potential&lt;/strong&gt;:&amp;nbsp;82.75 to 88.75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</si>
  <si>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47-5 (1)</t>
  </si>
  <si>
    <t>606 Smooth Steel(43263)</t>
  </si>
  <si>
    <t>Eric Henrique Domingos</t>
  </si>
  <si>
    <t>0.219 (10)</t>
  </si>
  <si>
    <t>Rider 6.00%</t>
  </si>
  <si>
    <t>&lt;h2&gt;Rider&lt;/h2&gt;&lt;p&gt;&lt;strong&gt;Career:&amp;nbsp;&lt;/strong&gt;Career: 46 for 132 - &lt;span style="color: #ff0000;"&gt;&lt;em&gt;34.85%&lt;/em&gt;&lt;/span&gt; - Rider Rating: .180&lt;/p&gt;&lt;p&gt;&lt;strong&gt;Season:&amp;nbsp;&lt;/strong&gt;Rank&amp;nbsp;&lt;span style="color: #ff0000;"&gt;65&lt;/span&gt; (6 for 26 - &lt;em&gt;23.1%&lt;/em&gt;)&lt;em&gt;&lt;br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#008000;"&gt;&lt;em&gt;$47,848.27&lt;/em&gt;&lt;/span&gt;&lt;/p&gt;&lt;p&gt;&lt;strong&gt;Potential&lt;/strong&gt;:&amp;nbsp;85.27 to 91.27 points&lt;/p&gt;&lt;p&gt;&amp;nbsp;&lt;/p&gt;&lt;p&gt;&lt;span style="text-decoration: underline;"&gt;&lt;strong&gt;Bull&lt;/strong&gt;&lt;/span&gt;&lt;/p&gt;&lt;p&gt;&lt;strong&gt;ALL:&lt;/strong&gt; 52 outs 5 rides - &lt;span style="color: #ff0000;"&gt;&lt;em&gt;90.38%&lt;/em&gt;&lt;/span&gt;&lt;/p&gt;&lt;p&gt;&lt;strong&gt;UTB:&lt;/strong&gt; 40 outs 4 rides - &lt;span style="color: #ff0000;"&gt;&lt;em&gt;90%&lt;/em&gt;&lt;/span&gt;&lt;/p&gt;&lt;p&gt;&lt;em&gt;&lt;span style="color: #ff0000;"&gt;*No Previous Matchups&lt;/span&gt;&lt;/em&gt;&lt;/p&gt;&lt;p&gt;&amp;nbsp;&lt;/p&gt;</t>
  </si>
  <si>
    <t>28-2 (0)</t>
  </si>
  <si>
    <t>07 Irish Car Bomb(50683)</t>
  </si>
  <si>
    <t>Kaique Pacheco</t>
  </si>
  <si>
    <t>0.342 (10)</t>
  </si>
  <si>
    <t>Rider 2.00%</t>
  </si>
  <si>
    <t>&lt;h2&gt;Rider&lt;/h2&gt;&lt;p&gt;&lt;strong&gt;Career:&amp;nbsp;&lt;/strong&gt;Career: 514 for 1038 - &lt;span style="color: #ff0000;"&gt;&lt;em&gt;49.52%&lt;/em&gt;&lt;/span&gt; - Rider Rating: *.401&lt;/p&gt;&lt;p&gt;&lt;strong&gt;Season:&amp;nbsp;&lt;/strong&gt;Rank&amp;nbsp;&lt;span style="color: #ff0000;"&gt;27&lt;/span&gt; (21 for 51 - &lt;em&gt;41.2%&lt;/em&gt;)&lt;em&gt;&lt;br /&gt;&lt;/em&gt;&lt;/p&gt;&lt;p&gt;&lt;strong&gt;Points:&amp;nbsp;&lt;/strong&gt;195.50 pts &lt;span style="color: #ff0000;"&gt;&lt;em&gt;(-632)&lt;/em&gt;&lt;/span&gt;&lt;/p&gt;&lt;p&gt;&lt;strong&gt;Earnings:&amp;nbsp;&lt;/strong&gt;&lt;span style="color: #008000;"&gt;&lt;em&gt;$61,266.76&lt;/em&gt;&lt;/span&gt;&lt;/p&gt;&lt;p&gt;&lt;strong&gt;Potential&lt;/strong&gt;:&amp;nbsp;83.22 to 89.22 points&lt;/p&gt;&lt;p&gt;&amp;nbsp;&lt;/p&gt;&lt;p&gt;&lt;span style="text-decoration: underline;"&gt;&lt;strong&gt;Bull&lt;/strong&gt;&lt;/span&gt;&lt;/p&gt;&lt;p&gt;&lt;strong&gt;ALL:&lt;/strong&gt; 30 outs 2 rides - &lt;span style="color: #ff0000;"&gt;&lt;em&gt;93.33%&lt;/em&gt;&lt;/span&gt;&lt;/p&gt;&lt;p&gt;&lt;strong&gt;UTB:&lt;/strong&gt; 5 outs 0 rides - &lt;span style="color: #ff0000;"&gt;&lt;em&gt;100%&lt;/em&gt;&lt;/span&gt;&lt;/p&gt;&lt;p&gt;&lt;em&gt;&lt;span style="color: #ff0000;"&gt;*No Previous Matchups&lt;/span&gt;&lt;/em&gt;&lt;/p&gt;&lt;p&gt;&amp;nbsp;&lt;/p&gt;</t>
  </si>
  <si>
    <t>2-1 (0)</t>
  </si>
  <si>
    <t>X13 Semi Sober(53634)</t>
  </si>
  <si>
    <t>Marcelo De Souza Dias Junior</t>
  </si>
  <si>
    <t>0.238 (6)</t>
  </si>
  <si>
    <t>43K Koopatroopa(55693)</t>
  </si>
  <si>
    <t>Callum Miller</t>
  </si>
  <si>
    <t>0.196 (6)</t>
  </si>
  <si>
    <t>&lt;h2&gt;Rider&lt;/h2&gt;&lt;p&gt;&lt;strong&gt;Career:&amp;nbsp;&lt;/strong&gt;Career: 128 for 440 - &lt;span style="color: #ff0000;"&gt;&lt;em&gt;29.09%&lt;/em&gt;&lt;/span&gt; - Rider Rating: .187&lt;/p&gt;&lt;p&gt;&lt;strong&gt;Season:&amp;nbsp;&lt;/strong&gt;Rank&amp;nbsp;&lt;span style="color: #ff0000;"&gt;25&lt;/span&gt; (21 for 56 - &lt;em&gt;37.5%&lt;/em&gt;)&lt;em&gt;&lt;br /&gt;&lt;/em&gt;&lt;/p&gt;&lt;p&gt;&lt;strong&gt;Points:&amp;nbsp;&lt;/strong&gt;209.00 pts &lt;span style="color: #ff0000;"&gt;&lt;em&gt;(-618.5)&lt;/em&gt;&lt;/span&gt;&lt;/p&gt;&lt;p&gt;&lt;strong&gt;Earnings:&amp;nbsp;&lt;/strong&gt;&lt;span style="color: #008000;"&gt;&lt;em&gt;$103,263.47&lt;/em&gt;&lt;/span&gt;&lt;/p&gt;&lt;p&gt;&lt;strong&gt;Potential&lt;/strong&gt;:&amp;nbsp;81.53 to 87.53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</si>
  <si>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29-12 (11)</t>
  </si>
  <si>
    <t>H19 Magic Touch(52004)</t>
  </si>
  <si>
    <t>Bruno Roberto</t>
  </si>
  <si>
    <t>0.337 (9)</t>
  </si>
  <si>
    <t>Rider 34.00%</t>
  </si>
  <si>
    <t>&lt;h2&gt;Rider&lt;/h2&gt;&lt;p&gt;&lt;strong&gt;Career:&amp;nbsp;&lt;/strong&gt;Career: 12 for 43 - &lt;span style="color: #ff0000;"&gt;&lt;em&gt;27.91%&lt;/em&gt;&lt;/span&gt; - Rider Rating: unrated&lt;/p&gt;&lt;p&gt;&lt;strong&gt;Potential&lt;/strong&gt;:&amp;nbsp;86.95 to 92.95 points&lt;/p&gt;&lt;p&gt;&amp;nbsp;&lt;/p&gt;&lt;p&gt;&lt;span style="text-decoration: underline;"&gt;&lt;strong&gt;Bull&lt;/strong&gt;&lt;/span&gt;&lt;/p&gt;&lt;p&gt;&lt;strong&gt;ALL:&lt;/strong&gt; 41 outs 12 rides - &lt;span style="color: #ff0000;"&gt;&lt;em&gt;70.73%&lt;/em&gt;&lt;/span&gt;&lt;/p&gt;&lt;p&gt;&lt;strong&gt;UTB:&lt;/strong&gt; 14 outs 5 rides - &lt;span style="color: #ff0000;"&gt;&lt;em&gt;64.29%&lt;/em&gt;&lt;/span&gt;&lt;/p&gt;&lt;p&gt;&lt;em&gt;&lt;span style="color: #ff0000;"&gt;*No Previous Matchups&lt;/span&gt;&lt;/em&gt;&lt;/p&gt;&lt;p&gt;&amp;nbsp;&lt;/p&gt;</t>
  </si>
  <si>
    <t>K9 Sergeant Stubby(56543)</t>
  </si>
  <si>
    <t>Lucas Divino</t>
  </si>
  <si>
    <t>0.270 (5)</t>
  </si>
  <si>
    <t>&lt;h2&gt;Rider&lt;/h2&gt;&lt;p&gt;&lt;strong&gt;Career:&amp;nbsp;&lt;/strong&gt;Career: 230 for 598 - &lt;span style="color: #ff0000;"&gt;&lt;em&gt;38.46%&lt;/em&gt;&lt;/span&gt; - Rider Rating: *.303&lt;/p&gt;&lt;p&gt;&lt;strong&gt;Season:&amp;nbsp;&lt;/strong&gt;Rank&amp;nbsp;&lt;span style="color: #ff0000;"&gt;34&lt;/span&gt; (17 for 48 - &lt;em&gt;35.4%&lt;/em&gt;)&lt;em&gt;&lt;br /&gt;&lt;/em&gt;&lt;/p&gt;&lt;p&gt;&lt;strong&gt;Points:&amp;nbsp;&lt;/strong&gt;123.00 pts &lt;span style="color: #ff0000;"&gt;&lt;em&gt;(-704.5)&lt;/em&gt;&lt;/span&gt;&lt;/p&gt;&lt;p&gt;&lt;strong&gt;Earnings:&amp;nbsp;&lt;/strong&gt;&lt;span style="color: #008000;"&gt;&lt;em&gt;$75,309.34&lt;/em&gt;&lt;/span&gt;&lt;/p&gt;&lt;p&gt;&lt;strong&gt;Potential&lt;/strong&gt;:&amp;nbsp;-1 to 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</si>
  <si>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16-6 (2)</t>
  </si>
  <si>
    <t>40-9 No Socks(47812)</t>
  </si>
  <si>
    <t>RLCC</t>
  </si>
  <si>
    <t>Andy Guzman</t>
  </si>
  <si>
    <t>0.282 (9)</t>
  </si>
  <si>
    <t>Rider 30.00%</t>
  </si>
  <si>
    <t>&lt;h2&gt;Rider&lt;/h2&gt;&lt;p&gt;&lt;strong&gt;Career:&amp;nbsp;&lt;/strong&gt;Career: 51 for 220 - &lt;span style="color: #ff0000;"&gt;&lt;em&gt;23.18%&lt;/em&gt;&lt;/span&gt; - Rider Rating: .120&lt;/p&gt;&lt;p&gt;&lt;strong&gt;Season:&amp;nbsp;&lt;/strong&gt;Rank&amp;nbsp;&lt;span style="color: #ff0000;"&gt;40&lt;/span&gt; (4 for 28 - &lt;em&gt;14.3%&lt;/em&gt;)&lt;em&gt;&lt;br /&gt;&lt;/em&gt;&lt;/p&gt;&lt;p&gt;&lt;strong&gt;Points:&amp;nbsp;&lt;/strong&gt;78.00 pts &lt;span style="color: #ff0000;"&gt;&lt;em&gt;(-749.5)&lt;/em&gt;&lt;/span&gt;&lt;/p&gt;&lt;p&gt;&lt;strong&gt;Earnings:&amp;nbsp;&lt;/strong&gt;&lt;span style="color: #008000;"&gt;&lt;em&gt;$11,550.00&lt;/em&gt;&lt;/span&gt;&lt;/p&gt;&lt;p&gt;&lt;strong&gt;Potential&lt;/strong&gt;:&amp;nbsp;83.73 to 89.73 points&lt;/p&gt;&lt;p&gt;&amp;nbsp;&lt;/p&gt;&lt;p&gt;&lt;span style="text-decoration: underline;"&gt;&lt;strong&gt;Bull&lt;/strong&gt;&lt;/span&gt;&lt;/p&gt;&lt;p&gt;&lt;strong&gt;ALL:&lt;/strong&gt; 22 outs 6 rides - &lt;span style="color: #ff0000;"&gt;&lt;em&gt;72.73%&lt;/em&gt;&lt;/span&gt;&lt;/p&gt;&lt;p&gt;&lt;strong&gt;UTB:&lt;/strong&gt; 6 outs 6 rides - &lt;span style="color: #ff0000;"&gt;&lt;em&gt;0%&lt;/em&gt;&lt;/span&gt;&lt;/p&gt;&lt;p&gt;&lt;em&gt;&lt;span style="color: #ff0000;"&gt;*No Previous Matchups&lt;/span&gt;&lt;/em&gt;&lt;/p&gt;&lt;p&gt;&amp;nbsp;&lt;/p&gt;</t>
  </si>
  <si>
    <t>3-2 (0)</t>
  </si>
  <si>
    <t>28 King Cobra(52618)</t>
  </si>
  <si>
    <t>Dener Barbosa</t>
  </si>
  <si>
    <t>0.484 (7)</t>
  </si>
  <si>
    <t>&lt;h2&gt;Rider&lt;/h2&gt;&lt;p&gt;&lt;strong&gt;Career:&amp;nbsp;&lt;/strong&gt;Career: 379 for 758 - &lt;span style="color: #ff0000;"&gt;&lt;em&gt;50%&lt;/em&gt;&lt;/span&gt; - Rider Rating: *.367&lt;/p&gt;&lt;p&gt;&lt;strong&gt;Season:&amp;nbsp;&lt;/strong&gt;Rank&amp;nbsp;&lt;span style="color: #ff0000;"&gt;42&lt;/span&gt; (15 for 35 - &lt;em&gt;42.9%&lt;/em&gt;)&lt;em&gt;&lt;br /&gt;&lt;/em&gt;&lt;/p&gt;&lt;p&gt;&lt;strong&gt;Points:&amp;nbsp;&lt;/strong&gt;64.00 pts &lt;span style="color: #ff0000;"&gt;&lt;em&gt;(-763.5)&lt;/em&gt;&lt;/span&gt;&lt;/p&gt;&lt;p&gt;&lt;strong&gt;Earnings:&amp;nbsp;&lt;/strong&gt;&lt;span style="color: #008000;"&gt;&lt;em&gt;$92,803.57&lt;/em&gt;&lt;/span&gt;&lt;/p&gt;&lt;p&gt;&lt;strong&gt;Potential&lt;/strong&gt;:&amp;nbsp;83.1 to 89.1 points&lt;/p&gt;&lt;p&gt;&amp;nbsp;&lt;/p&gt;&lt;p&gt;&lt;span style="text-decoration: underline;"&gt;&lt;strong&gt;Bull&lt;/strong&gt;&lt;/span&gt;&lt;/p&gt;&lt;p&gt;&lt;strong&gt;ALL:&lt;/strong&gt; 5 outs 2 rides - &lt;span style="color: #ff0000;"&gt;&lt;em&gt;60%&lt;/em&gt;&lt;/span&gt;&lt;/p&gt;&lt;p&gt;&lt;em&gt;&lt;span style="color: #ff0000;"&gt;*No Previous Matchups&lt;/span&gt;&lt;/em&gt;&lt;/p&gt;&lt;p&gt;&amp;nbsp;&lt;/p&gt;</t>
  </si>
  <si>
    <t>40-7 (5)</t>
  </si>
  <si>
    <t>808 Miller Time(47325)</t>
  </si>
  <si>
    <t>BSCC</t>
  </si>
  <si>
    <t>Koltin Hevalow</t>
  </si>
  <si>
    <t>0.220 (10)</t>
  </si>
  <si>
    <t>Bull 23.00%</t>
  </si>
  <si>
    <t>&lt;h2&gt;Rider&lt;/h2&gt;&lt;p&gt;&lt;strong&gt;Career:&amp;nbsp;&lt;/strong&gt;Career: 154 for 414 - &lt;span style="color: #ff0000;"&gt;&lt;em&gt;37.2%&lt;/em&gt;&lt;/span&gt; - Rider Rating: *.268&lt;/p&gt;&lt;p&gt;&lt;strong&gt;Season:&amp;nbsp;&lt;/strong&gt;Rank&amp;nbsp;&lt;span style="color: #ff0000;"&gt;20&lt;/span&gt; (35 for 78 - &lt;em&gt;44.9%&lt;/em&gt;)&lt;em&gt;&lt;br /&gt;&lt;/em&gt;&lt;/p&gt;&lt;p&gt;&lt;strong&gt;Points:&amp;nbsp;&lt;/strong&gt;246.50 pts &lt;span style="color: #ff0000;"&gt;&lt;em&gt;(-581)&lt;/em&gt;&lt;/span&gt;&lt;/p&gt;&lt;p&gt;&lt;strong&gt;Earnings:&amp;nbsp;&lt;/strong&gt;&lt;span style="color: #008000;"&gt;&lt;em&gt;$123,646.04&lt;/em&gt;&lt;/span&gt;&lt;/p&gt;&lt;p&gt;&lt;strong&gt;Potential&lt;/strong&gt;:&amp;nbsp;84.6 to 90.6 points&lt;/p&gt;&lt;p&gt;&amp;nbsp;&lt;/p&gt;&lt;p&gt;&lt;span style="text-decoration: underline;"&gt;&lt;strong&gt;Bull&lt;/strong&gt;&lt;/span&gt;&lt;/p&gt;&lt;p&gt;&lt;strong&gt;ALL:&lt;/strong&gt; 47 outs 7 rides - &lt;span style="color: #ff0000;"&gt;&lt;em&gt;85.11%&lt;/em&gt;&lt;/span&gt;&lt;/p&gt;&lt;p&gt;&lt;strong&gt;UTB:&lt;/strong&gt; 43 outs 7 rides - &lt;span style="color: #ff0000;"&gt;&lt;em&gt;83.72%&lt;/em&gt;&lt;/span&gt;&lt;/p&gt;&lt;p&gt;&lt;em&gt;&lt;span style="color: #ff0000;"&gt;*No Previous Matchups&lt;/span&gt;&lt;/em&gt;&lt;/p&gt;&lt;p&gt;&amp;nbsp;&lt;/p&gt;</t>
  </si>
  <si>
    <t>257 Heavens Hitman(56319)</t>
  </si>
  <si>
    <t>Vinicius Pinheiro Correa</t>
  </si>
  <si>
    <t>0.309 (6)</t>
  </si>
  <si>
    <t>&lt;h2&gt;Rider&lt;/h2&gt;&lt;p&gt;&lt;strong&gt;Career:&amp;nbsp;&lt;/strong&gt;Career: 44 for 121 - &lt;span style="color: #ff0000;"&gt;&lt;em&gt;36.36%&lt;/em&gt;&lt;/span&gt; - Rider Rating: *.217&lt;/p&gt;&lt;p&gt;&lt;strong&gt;Season:&amp;nbsp;&lt;/strong&gt;Rank&amp;nbsp;&lt;span style="color: #ff0000;"&gt;65&lt;/span&gt; (1 for 3 - &lt;em&gt;33.3%&lt;/em&gt;)&lt;em&gt;&lt;br /&gt;&lt;/em&gt;&lt;/p&gt;&lt;p&gt;&lt;strong&gt;Points:&amp;nbsp;&lt;/strong&gt;0.00 pts &lt;span style="color: #ff0000;"&gt;&lt;em&gt;(-827.5)&lt;/em&gt;&lt;/span&gt;&lt;/p&gt;&lt;p&gt;&lt;strong&gt;Earnings:&amp;nbsp;&lt;/strong&gt;&lt;span style="color: #008000;"&gt;&lt;em&gt;$15,572.53&lt;/em&gt;&lt;/span&gt;&lt;/p&gt;&lt;p&gt;&lt;strong&gt;Potential&lt;/strong&gt;:&amp;nbsp;83.75 to 89.75 points&lt;/p&gt;&lt;p&gt;&amp;nbsp;&lt;/p&gt;&lt;p&gt;&lt;span style="text-decoration: underline;"&gt;&lt;strong&gt;Bull&lt;/strong&gt;&lt;/span&gt;&lt;/p&gt;&lt;p&gt;&lt;em&gt;&lt;span style="color: #ff0000;"&gt;*No Previous Matchups&lt;/span&gt;&lt;/em&gt;&lt;/p&gt;&lt;p&gt;&amp;nbsp;&lt;/p&gt;</t>
  </si>
  <si>
    <t>9-3 (2)</t>
  </si>
  <si>
    <t>35 Black Eyes(52178)</t>
  </si>
  <si>
    <t>Cassio Dias</t>
  </si>
  <si>
    <t>0.506 (8)</t>
  </si>
  <si>
    <t>Rider 60.00%</t>
  </si>
  <si>
    <t>&lt;h2&gt;Rider&lt;/h2&gt;&lt;p&gt;&lt;strong&gt;Career:&amp;nbsp;&lt;/strong&gt;Career: 123 for 246 - &lt;span style="color: #ff0000;"&gt;&lt;em&gt;50%&lt;/em&gt;&lt;/span&gt; - Rider Rating: *.407&lt;/p&gt;&lt;p&gt;&lt;strong&gt;Season:&amp;nbsp;&lt;/strong&gt;Rank&amp;nbsp;&lt;span style="color: #ff0000;"&gt;21&lt;/span&gt; (11 for 42 - &lt;em&gt;26.2%&lt;/em&gt;)&lt;em&gt;&lt;br /&gt;&lt;/em&gt;&lt;/p&gt;&lt;p&gt;&lt;strong&gt;Points:&amp;nbsp;&lt;/strong&gt;244.50 pts &lt;span style="color: #ff0000;"&gt;&lt;em&gt;(-583)&lt;/em&gt;&lt;/span&gt;&lt;/p&gt;&lt;p&gt;&lt;strong&gt;Earnings:&amp;nbsp;&lt;/strong&gt;&lt;span style="color: #008000;"&gt;&lt;em&gt;$90,257.28&lt;/em&gt;&lt;/span&gt;&lt;/p&gt;&lt;p&gt;&lt;strong&gt;Potential&lt;/strong&gt;:&amp;nbsp;85.73 to 91.73 points&lt;/p&gt;&lt;p&gt;&amp;nbsp;&lt;/p&gt;&lt;p&gt;&lt;span style="text-decoration: underline;"&gt;&lt;strong&gt;Bull&lt;/strong&gt;&lt;/span&gt;&lt;/p&gt;&lt;p&gt;&lt;strong&gt;ALL:&lt;/strong&gt; 12 outs 3 rides - &lt;span style="color: #ff0000;"&gt;&lt;em&gt;75%&lt;/em&gt;&lt;/span&gt;&lt;/p&gt;&lt;p&gt;&lt;em&gt;&lt;span style="color: #ff0000;"&gt;*No Previous Matchups&lt;/span&gt;&lt;/em&gt;&lt;/p&gt;&lt;p&gt;&amp;nbsp;&lt;/p&gt;</t>
  </si>
  <si>
    <t>9-7 (2)</t>
  </si>
  <si>
    <t>185 Noslaw ExtraSauce(54035)</t>
  </si>
  <si>
    <t>Dalton Kasel</t>
  </si>
  <si>
    <t>0.541 (9)</t>
  </si>
  <si>
    <t>Rider 57.00%</t>
  </si>
  <si>
    <t>&lt;h2&gt;Rider&lt;/h2&gt;&lt;p&gt;&lt;strong&gt;Career:&amp;nbsp;&lt;/strong&gt;Career: 258 for 576 - &lt;span style="color: #ff0000;"&gt;&lt;em&gt;44.79%&lt;/em&gt;&lt;/span&gt; - Rider Rating: *.372&lt;/p&gt;&lt;p&gt;&lt;strong&gt;Season:&amp;nbsp;&lt;/strong&gt;Rank&amp;nbsp;&lt;span style="color: #ff0000;"&gt;6&lt;/span&gt; (36 for 66 - &lt;em&gt;54.5%&lt;/em&gt;)&lt;em&gt;&lt;br /&gt;&lt;/em&gt;&lt;/p&gt;&lt;p&gt;&lt;strong&gt;Points:&amp;nbsp;&lt;/strong&gt;488.50 pts &lt;span style="color: #ff0000;"&gt;&lt;em&gt;(-339)&lt;/em&gt;&lt;/span&gt;&lt;/p&gt;&lt;p&gt;&lt;strong&gt;Earnings:&amp;nbsp;&lt;/strong&gt;&lt;span style="color: #008000;"&gt;&lt;em&gt;$252,397.78&lt;/em&gt;&lt;/span&gt;&lt;/p&gt;&lt;p&gt;&lt;strong&gt;Potential&lt;/strong&gt;:&amp;nbsp;83.74 to 89.74 points&lt;/p&gt;&lt;p&gt;&amp;nbsp;&lt;/p&gt;&lt;p&gt;&lt;span style="text-decoration: underline;"&gt;&lt;strong&gt;Bull&lt;/strong&gt;&lt;/span&gt;&lt;/p&gt;&lt;p&gt;&lt;strong&gt;ALL:&lt;/strong&gt; 16 outs 7 rides - &lt;span style="color: #ff0000;"&gt;&lt;em&gt;56.25%&lt;/em&gt;&lt;/span&gt;&lt;/p&gt;&lt;p&gt;&lt;strong&gt;UTB:&lt;/strong&gt; 13 outs 7 rides - &lt;span style="color: #ff0000;"&gt;&lt;em&gt;46.15%&lt;/em&gt;&lt;/span&gt;&lt;/p&gt;&lt;p&gt;&lt;em&gt;&lt;span style="color: #ff0000;"&gt;*No Previous Matchups&lt;/span&gt;&lt;/em&gt;&lt;/p&gt;&lt;p&gt;&amp;nbsp;&lt;/p&gt;</t>
  </si>
  <si>
    <t>Chute Clock Foul</t>
  </si>
  <si>
    <t>Chute  contact challenge; shawn ramirez; Successful challeange</t>
  </si>
  <si>
    <t>CA</t>
  </si>
  <si>
    <t>.02 off 8 (granted auto challenge)</t>
  </si>
  <si>
    <t>RR</t>
  </si>
  <si>
    <t>wow lots of rides in a row,shits on lucas theodoro the bull fighter who is hurt</t>
  </si>
  <si>
    <t>Danny keep gets his 100th ride after 19 hour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</si>
</sst>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Verdana"/>
      <family val="2"/>
    </font>
    <font>
      <sz val="10"/>
      <color rgb="FF000000"/>
      <name val="Helvetica Neue"/>
      <family val="2"/>
    </font>
    <font>
      <sz val="12"/>
      <color rgb="FFF44336"/>
      <name val="Verdana"/>
      <family val="2"/>
    </font>
    <font>
      <sz val="12"/>
      <color theme="1"/>
      <name val="Helvetica"/>
      <family val="2"/>
    </font>
    <font>
      <sz val="12"/>
      <color rgb="FFFFA726"/>
      <name val="Verdana"/>
      <family val="2"/>
    </font>
    <font>
      <b/>
      <sz val="12"/>
      <color rgb="FFF44336"/>
      <name val="Verdana"/>
      <family val="2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bullstats.com/loggers/matchup.php?bull=54869&amp;guy=Maverick+Smith" TargetMode="External"/><Relationship Id="rId18" Type="http://schemas.openxmlformats.org/officeDocument/2006/relationships/hyperlink" Target="https://probullstats.com/loggers/matchup.php?bull=52731&amp;guy=Marco+Rizzo" TargetMode="External"/><Relationship Id="rId26" Type="http://schemas.openxmlformats.org/officeDocument/2006/relationships/hyperlink" Target="https://probullstats.com/loggers/matchup.php?bull=56542&amp;guy=Cort+McFadden" TargetMode="External"/><Relationship Id="rId39" Type="http://schemas.openxmlformats.org/officeDocument/2006/relationships/hyperlink" Target="https://probullstats.com/loggers/matchup.php?bull=52618&amp;guy=Dener+Barbosa" TargetMode="External"/><Relationship Id="rId21" Type="http://schemas.openxmlformats.org/officeDocument/2006/relationships/hyperlink" Target="https://probullstats.com/loggers/matchup.php?bull=55889&amp;guy=Brady+Fielder" TargetMode="External"/><Relationship Id="rId34" Type="http://schemas.openxmlformats.org/officeDocument/2006/relationships/hyperlink" Target="https://probullstats.com/loggers/matchup.php?bull=53634&amp;guy=Marcelo+De+Souza+Dias+Junior" TargetMode="External"/><Relationship Id="rId42" Type="http://schemas.openxmlformats.org/officeDocument/2006/relationships/hyperlink" Target="https://probullstats.com/loggers/matchup.php?bull=52178&amp;guy=Cassio+Dias" TargetMode="External"/><Relationship Id="rId7" Type="http://schemas.openxmlformats.org/officeDocument/2006/relationships/hyperlink" Target="https://probullstats.com/loggers/matchup.php?bull=54839&amp;guy=Keyshawn+Whitehorse" TargetMode="External"/><Relationship Id="rId2" Type="http://schemas.openxmlformats.org/officeDocument/2006/relationships/hyperlink" Target="https://probullstats.com/loggers/matchup.php?bull=56214&amp;guy=Kase+Hitt" TargetMode="External"/><Relationship Id="rId16" Type="http://schemas.openxmlformats.org/officeDocument/2006/relationships/hyperlink" Target="https://probullstats.com/loggers/matchup.php?bull=55061&amp;guy=Bruno+Carvalho" TargetMode="External"/><Relationship Id="rId20" Type="http://schemas.openxmlformats.org/officeDocument/2006/relationships/hyperlink" Target="https://probullstats.com/loggers/matchup.php?bull=55423&amp;guy=Eduardo+Aparecido" TargetMode="External"/><Relationship Id="rId29" Type="http://schemas.openxmlformats.org/officeDocument/2006/relationships/hyperlink" Target="https://probullstats.com/loggers/matchup.php?bull=53635&amp;guy=Macaulie+Leather" TargetMode="External"/><Relationship Id="rId41" Type="http://schemas.openxmlformats.org/officeDocument/2006/relationships/hyperlink" Target="https://probullstats.com/loggers/matchup.php?bull=56319&amp;guy=Vinicius+Pinheiro+Correa" TargetMode="External"/><Relationship Id="rId1" Type="http://schemas.openxmlformats.org/officeDocument/2006/relationships/hyperlink" Target="https://probullstats.com/loggers/matchup.php?bull=52839&amp;guy=Jess+Lockwood" TargetMode="External"/><Relationship Id="rId6" Type="http://schemas.openxmlformats.org/officeDocument/2006/relationships/hyperlink" Target="https://probullstats.com/loggers/matchup.php?bull=48948&amp;guy=Bob+Mitchell" TargetMode="External"/><Relationship Id="rId11" Type="http://schemas.openxmlformats.org/officeDocument/2006/relationships/hyperlink" Target="https://probullstats.com/loggers/matchup.php?bull=54711&amp;guy=Alex+Cerqueira" TargetMode="External"/><Relationship Id="rId24" Type="http://schemas.openxmlformats.org/officeDocument/2006/relationships/hyperlink" Target="https://probullstats.com/loggers/matchup.php?bull=56045&amp;guy=Daniel+Keeping" TargetMode="External"/><Relationship Id="rId32" Type="http://schemas.openxmlformats.org/officeDocument/2006/relationships/hyperlink" Target="https://probullstats.com/loggers/matchup.php?bull=43263&amp;guy=Eric+Henrique+Domingos" TargetMode="External"/><Relationship Id="rId37" Type="http://schemas.openxmlformats.org/officeDocument/2006/relationships/hyperlink" Target="https://probullstats.com/loggers/matchup.php?bull=56543&amp;guy=Lucas+Divino" TargetMode="External"/><Relationship Id="rId40" Type="http://schemas.openxmlformats.org/officeDocument/2006/relationships/hyperlink" Target="https://probullstats.com/loggers/matchup.php?bull=47325&amp;guy=Koltin+Hevalow" TargetMode="External"/><Relationship Id="rId5" Type="http://schemas.openxmlformats.org/officeDocument/2006/relationships/hyperlink" Target="https://probullstats.com/loggers/matchup.php?bull=56540&amp;guy=Mauricio+Gulla+Moreira" TargetMode="External"/><Relationship Id="rId15" Type="http://schemas.openxmlformats.org/officeDocument/2006/relationships/hyperlink" Target="https://probullstats.com/loggers/matchup.php?bull=52572&amp;guy=Alex+Junior+da+Silva" TargetMode="External"/><Relationship Id="rId23" Type="http://schemas.openxmlformats.org/officeDocument/2006/relationships/hyperlink" Target="https://probullstats.com/loggers/matchup.php?bull=50890&amp;guy=Trace+Redd" TargetMode="External"/><Relationship Id="rId28" Type="http://schemas.openxmlformats.org/officeDocument/2006/relationships/hyperlink" Target="https://probullstats.com/loggers/matchup.php?bull=48463&amp;guy=Joao+Ricardo+Vieira" TargetMode="External"/><Relationship Id="rId36" Type="http://schemas.openxmlformats.org/officeDocument/2006/relationships/hyperlink" Target="https://probullstats.com/loggers/matchup.php?bull=52004&amp;guy=Bruno+Roberto" TargetMode="External"/><Relationship Id="rId10" Type="http://schemas.openxmlformats.org/officeDocument/2006/relationships/hyperlink" Target="https://probullstats.com/loggers/matchup.php?bull=56046&amp;guy=Paulo+Eduardo+Rossetto" TargetMode="External"/><Relationship Id="rId19" Type="http://schemas.openxmlformats.org/officeDocument/2006/relationships/hyperlink" Target="https://probullstats.com/loggers/matchup.php?bull=56541&amp;guy=John+Crimber" TargetMode="External"/><Relationship Id="rId31" Type="http://schemas.openxmlformats.org/officeDocument/2006/relationships/hyperlink" Target="https://probullstats.com/loggers/matchup.php?bull=55084&amp;guy=Sage+Kimzey" TargetMode="External"/><Relationship Id="rId4" Type="http://schemas.openxmlformats.org/officeDocument/2006/relationships/hyperlink" Target="https://probullstats.com/loggers/matchup.php?bull=55806&amp;guy=Kaiden+Loud" TargetMode="External"/><Relationship Id="rId9" Type="http://schemas.openxmlformats.org/officeDocument/2006/relationships/hyperlink" Target="https://probullstats.com/loggers/matchup.php?bull=53970&amp;guy=Leandro+Zampollo" TargetMode="External"/><Relationship Id="rId14" Type="http://schemas.openxmlformats.org/officeDocument/2006/relationships/hyperlink" Target="https://probullstats.com/loggers/matchup.php?bull=52181&amp;guy=Hudson+Bolton" TargetMode="External"/><Relationship Id="rId22" Type="http://schemas.openxmlformats.org/officeDocument/2006/relationships/hyperlink" Target="https://probullstats.com/loggers/matchup.php?bull=55691&amp;guy=Claudio+Montanha+Jr." TargetMode="External"/><Relationship Id="rId27" Type="http://schemas.openxmlformats.org/officeDocument/2006/relationships/hyperlink" Target="https://probullstats.com/loggers/matchup.php?bull=45407&amp;guy=Jadon+Hayes" TargetMode="External"/><Relationship Id="rId30" Type="http://schemas.openxmlformats.org/officeDocument/2006/relationships/hyperlink" Target="https://probullstats.com/loggers/matchup.php?bull=56345&amp;guy=Natanael+Serra+Aires" TargetMode="External"/><Relationship Id="rId35" Type="http://schemas.openxmlformats.org/officeDocument/2006/relationships/hyperlink" Target="https://probullstats.com/loggers/matchup.php?bull=55693&amp;guy=Callum+Miller" TargetMode="External"/><Relationship Id="rId43" Type="http://schemas.openxmlformats.org/officeDocument/2006/relationships/hyperlink" Target="https://probullstats.com/loggers/matchup.php?bull=54035&amp;guy=Dalton+Kasel" TargetMode="External"/><Relationship Id="rId8" Type="http://schemas.openxmlformats.org/officeDocument/2006/relationships/hyperlink" Target="https://probullstats.com/loggers/matchup.php?bull=53968&amp;guy=Manoelito+de+Souza+Junior" TargetMode="External"/><Relationship Id="rId3" Type="http://schemas.openxmlformats.org/officeDocument/2006/relationships/hyperlink" Target="https://probullstats.com/loggers/matchup.php?bull=56035&amp;guy=Julio+Cesar+Marques" TargetMode="External"/><Relationship Id="rId12" Type="http://schemas.openxmlformats.org/officeDocument/2006/relationships/hyperlink" Target="https://probullstats.com/loggers/matchup.php?bull=47944&amp;guy=Luciano+De+Castro" TargetMode="External"/><Relationship Id="rId17" Type="http://schemas.openxmlformats.org/officeDocument/2006/relationships/hyperlink" Target="https://probullstats.com/loggers/matchup.php?bull=54896&amp;guy=Mason+Taylor" TargetMode="External"/><Relationship Id="rId25" Type="http://schemas.openxmlformats.org/officeDocument/2006/relationships/hyperlink" Target="https://probullstats.com/loggers/matchup.php?bull=52122&amp;guy=Jose+Vitor+Leme" TargetMode="External"/><Relationship Id="rId33" Type="http://schemas.openxmlformats.org/officeDocument/2006/relationships/hyperlink" Target="https://probullstats.com/loggers/matchup.php?bull=50683&amp;guy=Kaique+Pacheco" TargetMode="External"/><Relationship Id="rId38" Type="http://schemas.openxmlformats.org/officeDocument/2006/relationships/hyperlink" Target="https://probullstats.com/loggers/matchup.php?bull=47812&amp;guy=Andy+Guz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8787-F410-204A-8FD8-EC4B8315D133}">
  <dimension ref="A1:T44"/>
  <sheetViews>
    <sheetView tabSelected="1" topLeftCell="O9" zoomScale="140" zoomScaleNormal="140" workbookViewId="0">
      <selection activeCell="R16" sqref="R16:R17"/>
    </sheetView>
  </sheetViews>
  <sheetFormatPr baseColWidth="10" defaultRowHeight="16" x14ac:dyDescent="0.2"/>
  <cols>
    <col min="15" max="15" width="17.1640625" customWidth="1"/>
    <col min="16" max="16" width="10.83203125" style="9"/>
    <col min="17" max="17" width="10.83203125" style="10"/>
    <col min="18" max="18" width="10.83203125" style="11"/>
  </cols>
  <sheetData>
    <row r="1" spans="1:20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11</v>
      </c>
      <c r="J1" t="s">
        <v>12</v>
      </c>
      <c r="K1" t="s">
        <v>13</v>
      </c>
      <c r="L1" t="s">
        <v>1</v>
      </c>
      <c r="M1" t="s">
        <v>14</v>
      </c>
      <c r="N1" t="s">
        <v>15</v>
      </c>
      <c r="O1" t="s">
        <v>10</v>
      </c>
      <c r="P1" s="9" t="s">
        <v>16</v>
      </c>
      <c r="Q1" s="10" t="s">
        <v>17</v>
      </c>
      <c r="R1" s="11" t="s">
        <v>2</v>
      </c>
      <c r="S1" t="s">
        <v>18</v>
      </c>
      <c r="T1" t="s">
        <v>19</v>
      </c>
    </row>
    <row r="2" spans="1:20" ht="16" customHeight="1" x14ac:dyDescent="0.2">
      <c r="A2">
        <v>1</v>
      </c>
      <c r="B2" s="1">
        <v>73.25</v>
      </c>
      <c r="C2" s="1" t="s">
        <v>20</v>
      </c>
      <c r="D2" s="1" t="s">
        <v>21</v>
      </c>
      <c r="E2" s="1">
        <v>10229185</v>
      </c>
      <c r="F2" s="1" t="s">
        <v>22</v>
      </c>
      <c r="G2" s="1" t="s">
        <v>23</v>
      </c>
      <c r="H2" s="1">
        <v>1</v>
      </c>
      <c r="I2" s="1" t="s">
        <v>25</v>
      </c>
      <c r="J2" s="2" t="s">
        <v>26</v>
      </c>
      <c r="K2" s="3" t="s">
        <v>27</v>
      </c>
      <c r="L2" s="3" t="s">
        <v>28</v>
      </c>
      <c r="M2" s="3" t="s">
        <v>29</v>
      </c>
      <c r="N2" s="4" t="s">
        <v>30</v>
      </c>
      <c r="O2" s="1" t="s">
        <v>24</v>
      </c>
      <c r="P2" s="9">
        <v>43.1</v>
      </c>
      <c r="Q2" s="10">
        <f>IF(OR(P2="",R2=""),0,R2-P2)</f>
        <v>45.35</v>
      </c>
      <c r="R2" s="11">
        <v>88.45</v>
      </c>
      <c r="T2" t="s">
        <v>19</v>
      </c>
    </row>
    <row r="3" spans="1:20" ht="16" customHeight="1" x14ac:dyDescent="0.2">
      <c r="A3">
        <v>2</v>
      </c>
      <c r="B3" s="1" t="s">
        <v>31</v>
      </c>
      <c r="C3" s="5" t="s">
        <v>32</v>
      </c>
      <c r="D3" s="1" t="s">
        <v>33</v>
      </c>
      <c r="E3" s="1">
        <v>10250898</v>
      </c>
      <c r="F3" s="1" t="s">
        <v>22</v>
      </c>
      <c r="G3" s="1" t="s">
        <v>23</v>
      </c>
      <c r="H3" s="1">
        <v>1</v>
      </c>
      <c r="I3" s="1" t="s">
        <v>35</v>
      </c>
      <c r="J3" s="2" t="s">
        <v>26</v>
      </c>
      <c r="K3" s="3" t="s">
        <v>27</v>
      </c>
      <c r="L3" s="6"/>
      <c r="M3" s="3" t="s">
        <v>36</v>
      </c>
      <c r="N3" s="3" t="s">
        <v>37</v>
      </c>
      <c r="O3" s="1" t="s">
        <v>34</v>
      </c>
      <c r="P3" s="9">
        <v>42.7</v>
      </c>
      <c r="Q3" s="10">
        <v>0</v>
      </c>
      <c r="R3" s="11">
        <v>0</v>
      </c>
      <c r="T3" t="s">
        <v>38</v>
      </c>
    </row>
    <row r="4" spans="1:20" ht="16" customHeight="1" x14ac:dyDescent="0.2">
      <c r="A4">
        <v>3</v>
      </c>
      <c r="B4" s="1" t="s">
        <v>31</v>
      </c>
      <c r="C4" s="1" t="s">
        <v>39</v>
      </c>
      <c r="D4" s="1" t="s">
        <v>40</v>
      </c>
      <c r="E4" s="1"/>
      <c r="F4" s="1" t="s">
        <v>22</v>
      </c>
      <c r="G4" s="1" t="s">
        <v>23</v>
      </c>
      <c r="H4" s="1">
        <v>1</v>
      </c>
      <c r="I4" s="1" t="s">
        <v>42</v>
      </c>
      <c r="J4" s="2" t="s">
        <v>26</v>
      </c>
      <c r="K4" s="3" t="s">
        <v>43</v>
      </c>
      <c r="L4" s="6"/>
      <c r="M4" s="3" t="s">
        <v>36</v>
      </c>
      <c r="N4" s="3" t="s">
        <v>44</v>
      </c>
      <c r="O4" s="1" t="s">
        <v>41</v>
      </c>
      <c r="P4" s="9">
        <v>41.7</v>
      </c>
      <c r="Q4" s="10">
        <f t="shared" ref="Q3:Q44" ca="1" si="0">IF(OR(P4="",R4=""),0,R4-P4)</f>
        <v>45.4</v>
      </c>
      <c r="R4" s="11">
        <f ca="1">P4+Q4</f>
        <v>83.15</v>
      </c>
      <c r="T4" t="s">
        <v>45</v>
      </c>
    </row>
    <row r="5" spans="1:20" ht="16" customHeight="1" x14ac:dyDescent="0.2">
      <c r="A5">
        <v>4</v>
      </c>
      <c r="B5" s="1" t="s">
        <v>31</v>
      </c>
      <c r="C5" s="1" t="s">
        <v>46</v>
      </c>
      <c r="D5" s="1" t="s">
        <v>47</v>
      </c>
      <c r="E5" s="1"/>
      <c r="F5" s="1" t="s">
        <v>22</v>
      </c>
      <c r="G5" s="1" t="s">
        <v>23</v>
      </c>
      <c r="H5" s="1">
        <v>1</v>
      </c>
      <c r="I5" s="1" t="s">
        <v>49</v>
      </c>
      <c r="J5" s="2" t="s">
        <v>26</v>
      </c>
      <c r="K5" s="3" t="s">
        <v>43</v>
      </c>
      <c r="L5" s="6"/>
      <c r="M5" s="3" t="s">
        <v>36</v>
      </c>
      <c r="N5" s="3" t="s">
        <v>50</v>
      </c>
      <c r="O5" s="1" t="s">
        <v>48</v>
      </c>
      <c r="P5" s="9">
        <v>44.2</v>
      </c>
      <c r="Q5" s="10">
        <v>0</v>
      </c>
      <c r="R5" s="11">
        <v>0</v>
      </c>
      <c r="T5" t="s">
        <v>45</v>
      </c>
    </row>
    <row r="6" spans="1:20" ht="16" customHeight="1" x14ac:dyDescent="0.2">
      <c r="A6">
        <v>5</v>
      </c>
      <c r="B6" s="1" t="s">
        <v>31</v>
      </c>
      <c r="C6" s="7" t="s">
        <v>51</v>
      </c>
      <c r="D6" s="1" t="s">
        <v>52</v>
      </c>
      <c r="E6" s="1"/>
      <c r="F6" s="1" t="s">
        <v>53</v>
      </c>
      <c r="G6" s="1" t="s">
        <v>23</v>
      </c>
      <c r="H6" s="1">
        <v>1</v>
      </c>
      <c r="I6" s="1" t="s">
        <v>55</v>
      </c>
      <c r="J6" s="2" t="s">
        <v>26</v>
      </c>
      <c r="K6" s="3" t="s">
        <v>27</v>
      </c>
      <c r="L6" s="6"/>
      <c r="M6" s="3" t="s">
        <v>36</v>
      </c>
      <c r="N6" s="3" t="s">
        <v>56</v>
      </c>
      <c r="O6" s="1" t="s">
        <v>54</v>
      </c>
      <c r="P6" s="9">
        <v>44.2</v>
      </c>
      <c r="Q6" s="10">
        <v>0</v>
      </c>
      <c r="R6" s="11">
        <v>0</v>
      </c>
      <c r="T6" t="s">
        <v>38</v>
      </c>
    </row>
    <row r="7" spans="1:20" ht="16" customHeight="1" x14ac:dyDescent="0.2">
      <c r="A7">
        <v>6</v>
      </c>
      <c r="B7" s="1">
        <v>67.349999999999994</v>
      </c>
      <c r="C7" s="1" t="s">
        <v>57</v>
      </c>
      <c r="D7" s="1" t="s">
        <v>58</v>
      </c>
      <c r="E7" s="1"/>
      <c r="F7" s="1" t="s">
        <v>59</v>
      </c>
      <c r="G7" s="1" t="s">
        <v>23</v>
      </c>
      <c r="H7" s="1">
        <v>1</v>
      </c>
      <c r="I7" s="1" t="s">
        <v>61</v>
      </c>
      <c r="J7" s="2" t="s">
        <v>26</v>
      </c>
      <c r="K7" s="3" t="s">
        <v>27</v>
      </c>
      <c r="L7" s="3" t="s">
        <v>62</v>
      </c>
      <c r="M7" s="3" t="s">
        <v>29</v>
      </c>
      <c r="N7" s="3" t="s">
        <v>63</v>
      </c>
      <c r="O7" s="1" t="s">
        <v>60</v>
      </c>
      <c r="P7" s="9">
        <v>41.1</v>
      </c>
      <c r="Q7" s="10">
        <v>83.85</v>
      </c>
      <c r="R7" s="11">
        <v>83.85</v>
      </c>
      <c r="T7" t="s">
        <v>19</v>
      </c>
    </row>
    <row r="8" spans="1:20" ht="16" customHeight="1" x14ac:dyDescent="0.2">
      <c r="A8">
        <v>7</v>
      </c>
      <c r="B8" s="1">
        <v>74.319999999999993</v>
      </c>
      <c r="C8" s="5" t="s">
        <v>64</v>
      </c>
      <c r="D8" s="1" t="s">
        <v>65</v>
      </c>
      <c r="E8" s="1"/>
      <c r="F8" s="1" t="s">
        <v>59</v>
      </c>
      <c r="G8" s="1" t="s">
        <v>23</v>
      </c>
      <c r="H8" s="1">
        <v>2</v>
      </c>
      <c r="I8" s="1" t="s">
        <v>67</v>
      </c>
      <c r="J8" s="2" t="s">
        <v>26</v>
      </c>
      <c r="K8" s="3" t="s">
        <v>43</v>
      </c>
      <c r="L8" s="3"/>
      <c r="M8" s="3" t="s">
        <v>36</v>
      </c>
      <c r="N8" s="3" t="s">
        <v>68</v>
      </c>
      <c r="O8" s="1" t="s">
        <v>66</v>
      </c>
      <c r="P8" s="9">
        <v>44.15</v>
      </c>
      <c r="Q8" s="10">
        <v>0</v>
      </c>
      <c r="R8" s="11">
        <f t="shared" ref="R8:R44" si="1">P8+Q8</f>
        <v>44.15</v>
      </c>
      <c r="T8" t="s">
        <v>45</v>
      </c>
    </row>
    <row r="9" spans="1:20" ht="16" customHeight="1" x14ac:dyDescent="0.2">
      <c r="A9">
        <v>8</v>
      </c>
      <c r="B9" s="1">
        <v>67.02</v>
      </c>
      <c r="C9" s="1" t="s">
        <v>69</v>
      </c>
      <c r="D9" s="1" t="s">
        <v>70</v>
      </c>
      <c r="E9" s="1"/>
      <c r="F9" s="1" t="s">
        <v>71</v>
      </c>
      <c r="G9" s="1" t="s">
        <v>23</v>
      </c>
      <c r="H9" s="1">
        <v>2</v>
      </c>
      <c r="I9" s="1" t="s">
        <v>73</v>
      </c>
      <c r="J9" s="2" t="s">
        <v>26</v>
      </c>
      <c r="K9" s="3" t="s">
        <v>27</v>
      </c>
      <c r="L9" s="3" t="s">
        <v>74</v>
      </c>
      <c r="M9" s="3" t="s">
        <v>29</v>
      </c>
      <c r="N9" s="3" t="s">
        <v>75</v>
      </c>
      <c r="O9" s="1" t="s">
        <v>72</v>
      </c>
      <c r="P9" s="9">
        <v>42.9</v>
      </c>
      <c r="Q9" s="10">
        <v>0</v>
      </c>
      <c r="R9" s="11">
        <f t="shared" si="1"/>
        <v>42.9</v>
      </c>
      <c r="T9" t="s">
        <v>45</v>
      </c>
    </row>
    <row r="10" spans="1:20" ht="16" customHeight="1" x14ac:dyDescent="0.2">
      <c r="A10">
        <v>9</v>
      </c>
      <c r="B10" s="1">
        <v>72.430000000000007</v>
      </c>
      <c r="C10" s="1" t="s">
        <v>76</v>
      </c>
      <c r="D10" s="1" t="s">
        <v>77</v>
      </c>
      <c r="E10" s="1"/>
      <c r="F10" s="1" t="s">
        <v>71</v>
      </c>
      <c r="G10" s="1" t="s">
        <v>23</v>
      </c>
      <c r="H10" s="1">
        <v>2</v>
      </c>
      <c r="I10" s="1" t="s">
        <v>79</v>
      </c>
      <c r="J10" s="2" t="s">
        <v>26</v>
      </c>
      <c r="K10" s="3" t="s">
        <v>27</v>
      </c>
      <c r="L10" s="3" t="s">
        <v>80</v>
      </c>
      <c r="M10" s="3" t="s">
        <v>29</v>
      </c>
      <c r="N10" s="3" t="s">
        <v>81</v>
      </c>
      <c r="O10" s="1" t="s">
        <v>78</v>
      </c>
      <c r="P10" s="9">
        <v>0</v>
      </c>
      <c r="Q10" s="10">
        <v>0</v>
      </c>
      <c r="R10" s="11">
        <v>0</v>
      </c>
      <c r="T10" t="s">
        <v>19</v>
      </c>
    </row>
    <row r="11" spans="1:20" ht="16" customHeight="1" x14ac:dyDescent="0.2">
      <c r="A11">
        <v>10</v>
      </c>
      <c r="B11" s="1" t="s">
        <v>31</v>
      </c>
      <c r="C11" s="1" t="s">
        <v>82</v>
      </c>
      <c r="D11" s="1" t="s">
        <v>83</v>
      </c>
      <c r="E11" s="1"/>
      <c r="F11" s="1" t="s">
        <v>84</v>
      </c>
      <c r="G11" s="1" t="s">
        <v>23</v>
      </c>
      <c r="H11" s="1">
        <v>2</v>
      </c>
      <c r="I11" s="1" t="s">
        <v>86</v>
      </c>
      <c r="J11" s="2" t="s">
        <v>26</v>
      </c>
      <c r="K11" s="3" t="s">
        <v>43</v>
      </c>
      <c r="L11" s="6"/>
      <c r="M11" s="3" t="s">
        <v>36</v>
      </c>
      <c r="N11" s="3" t="s">
        <v>87</v>
      </c>
      <c r="O11" s="1" t="s">
        <v>85</v>
      </c>
      <c r="P11" s="9">
        <v>43.55</v>
      </c>
      <c r="Q11" s="10">
        <f t="shared" si="0"/>
        <v>45.960000000000008</v>
      </c>
      <c r="R11" s="11">
        <v>89.51</v>
      </c>
      <c r="T11" t="s">
        <v>45</v>
      </c>
    </row>
    <row r="12" spans="1:20" ht="16" customHeight="1" x14ac:dyDescent="0.2">
      <c r="A12">
        <v>11</v>
      </c>
      <c r="B12" s="1">
        <v>41.22</v>
      </c>
      <c r="C12" s="1" t="s">
        <v>88</v>
      </c>
      <c r="D12" s="1" t="s">
        <v>89</v>
      </c>
      <c r="E12" s="1">
        <v>10266759</v>
      </c>
      <c r="F12" s="1" t="s">
        <v>71</v>
      </c>
      <c r="G12" s="1" t="s">
        <v>23</v>
      </c>
      <c r="H12" s="1">
        <v>2</v>
      </c>
      <c r="I12" s="1" t="s">
        <v>91</v>
      </c>
      <c r="J12" s="2" t="s">
        <v>26</v>
      </c>
      <c r="K12" s="3" t="s">
        <v>27</v>
      </c>
      <c r="L12" s="3"/>
      <c r="M12" s="3" t="s">
        <v>36</v>
      </c>
      <c r="N12" s="3" t="s">
        <v>92</v>
      </c>
      <c r="O12" s="1" t="s">
        <v>90</v>
      </c>
      <c r="P12" s="9" t="s">
        <v>274</v>
      </c>
      <c r="Q12" s="10" t="s">
        <v>274</v>
      </c>
      <c r="R12" s="11" t="s">
        <v>274</v>
      </c>
      <c r="T12" t="s">
        <v>19</v>
      </c>
    </row>
    <row r="13" spans="1:20" ht="16" customHeight="1" x14ac:dyDescent="0.2">
      <c r="A13">
        <v>12</v>
      </c>
      <c r="B13" s="1">
        <v>78.040000000000006</v>
      </c>
      <c r="C13" s="1" t="s">
        <v>93</v>
      </c>
      <c r="D13" s="1" t="s">
        <v>94</v>
      </c>
      <c r="E13" s="1">
        <v>10231236</v>
      </c>
      <c r="F13" s="1" t="s">
        <v>95</v>
      </c>
      <c r="G13" s="1" t="s">
        <v>23</v>
      </c>
      <c r="H13" s="1">
        <v>2</v>
      </c>
      <c r="I13" s="1" t="s">
        <v>97</v>
      </c>
      <c r="J13" s="2" t="s">
        <v>26</v>
      </c>
      <c r="K13" s="3" t="s">
        <v>27</v>
      </c>
      <c r="L13" s="3" t="s">
        <v>98</v>
      </c>
      <c r="M13" s="3" t="s">
        <v>99</v>
      </c>
      <c r="N13" s="3" t="s">
        <v>100</v>
      </c>
      <c r="O13" s="1" t="s">
        <v>96</v>
      </c>
      <c r="P13" s="9">
        <v>43.15</v>
      </c>
      <c r="Q13" s="10">
        <f t="shared" si="0"/>
        <v>43.000000000000007</v>
      </c>
      <c r="R13" s="11">
        <v>86.15</v>
      </c>
      <c r="T13" t="s">
        <v>45</v>
      </c>
    </row>
    <row r="14" spans="1:20" ht="16" customHeight="1" x14ac:dyDescent="0.2">
      <c r="A14">
        <v>13</v>
      </c>
      <c r="B14" s="1" t="s">
        <v>31</v>
      </c>
      <c r="C14" s="5" t="s">
        <v>32</v>
      </c>
      <c r="D14" s="1" t="s">
        <v>101</v>
      </c>
      <c r="E14" s="1">
        <v>10259466</v>
      </c>
      <c r="F14" s="1" t="s">
        <v>53</v>
      </c>
      <c r="G14" s="1" t="s">
        <v>23</v>
      </c>
      <c r="H14" s="1">
        <v>3</v>
      </c>
      <c r="I14" s="1" t="s">
        <v>103</v>
      </c>
      <c r="J14" s="2" t="s">
        <v>26</v>
      </c>
      <c r="K14" s="3" t="s">
        <v>43</v>
      </c>
      <c r="L14" s="6"/>
      <c r="M14" s="3" t="s">
        <v>36</v>
      </c>
      <c r="N14" s="3" t="s">
        <v>104</v>
      </c>
      <c r="O14" s="1" t="s">
        <v>102</v>
      </c>
      <c r="P14" s="9">
        <v>43.05</v>
      </c>
      <c r="Q14" s="10">
        <v>0</v>
      </c>
      <c r="R14" s="11">
        <v>0</v>
      </c>
      <c r="T14" t="s">
        <v>45</v>
      </c>
    </row>
    <row r="15" spans="1:20" ht="16" customHeight="1" x14ac:dyDescent="0.2">
      <c r="A15">
        <v>14</v>
      </c>
      <c r="B15" s="1">
        <v>59.91</v>
      </c>
      <c r="C15" s="1" t="s">
        <v>105</v>
      </c>
      <c r="D15" s="1" t="s">
        <v>106</v>
      </c>
      <c r="E15" s="1"/>
      <c r="F15" s="1" t="s">
        <v>107</v>
      </c>
      <c r="G15" s="1" t="s">
        <v>23</v>
      </c>
      <c r="H15" s="1">
        <v>3</v>
      </c>
      <c r="I15" s="1" t="s">
        <v>109</v>
      </c>
      <c r="J15" s="2" t="s">
        <v>26</v>
      </c>
      <c r="K15" s="3" t="s">
        <v>27</v>
      </c>
      <c r="L15" s="3" t="s">
        <v>110</v>
      </c>
      <c r="M15" s="3" t="s">
        <v>99</v>
      </c>
      <c r="N15" s="3" t="s">
        <v>111</v>
      </c>
      <c r="O15" s="1" t="s">
        <v>108</v>
      </c>
      <c r="P15" s="9">
        <v>42.5</v>
      </c>
      <c r="Q15" s="10">
        <f t="shared" si="0"/>
        <v>45.5</v>
      </c>
      <c r="R15" s="11">
        <v>88</v>
      </c>
      <c r="T15" t="s">
        <v>45</v>
      </c>
    </row>
    <row r="16" spans="1:20" ht="16" customHeight="1" x14ac:dyDescent="0.2">
      <c r="A16">
        <v>15</v>
      </c>
      <c r="B16" s="1">
        <v>71.7</v>
      </c>
      <c r="C16" s="1" t="s">
        <v>112</v>
      </c>
      <c r="D16" s="1" t="s">
        <v>113</v>
      </c>
      <c r="E16" s="1">
        <v>10257887</v>
      </c>
      <c r="F16" s="1" t="s">
        <v>95</v>
      </c>
      <c r="G16" s="1" t="s">
        <v>23</v>
      </c>
      <c r="H16" s="1">
        <v>3</v>
      </c>
      <c r="I16" s="1" t="s">
        <v>115</v>
      </c>
      <c r="J16" s="2" t="s">
        <v>26</v>
      </c>
      <c r="K16" s="3" t="s">
        <v>43</v>
      </c>
      <c r="L16" s="3"/>
      <c r="M16" s="3" t="s">
        <v>36</v>
      </c>
      <c r="N16" s="3" t="s">
        <v>116</v>
      </c>
      <c r="O16" s="1" t="s">
        <v>114</v>
      </c>
      <c r="P16" s="9" t="s">
        <v>274</v>
      </c>
      <c r="Q16" s="10" t="s">
        <v>274</v>
      </c>
      <c r="R16" s="11" t="s">
        <v>274</v>
      </c>
      <c r="S16" t="s">
        <v>270</v>
      </c>
      <c r="T16" t="s">
        <v>45</v>
      </c>
    </row>
    <row r="17" spans="1:20" ht="16" customHeight="1" x14ac:dyDescent="0.2">
      <c r="A17">
        <v>16</v>
      </c>
      <c r="B17" s="1">
        <v>77.53</v>
      </c>
      <c r="C17" s="5" t="s">
        <v>117</v>
      </c>
      <c r="D17" s="1" t="s">
        <v>118</v>
      </c>
      <c r="E17" s="1"/>
      <c r="F17" s="1" t="s">
        <v>119</v>
      </c>
      <c r="G17" s="1" t="s">
        <v>23</v>
      </c>
      <c r="H17" s="1">
        <v>3</v>
      </c>
      <c r="I17" s="1" t="s">
        <v>121</v>
      </c>
      <c r="J17" s="2" t="s">
        <v>26</v>
      </c>
      <c r="K17" s="3" t="s">
        <v>27</v>
      </c>
      <c r="L17" s="3"/>
      <c r="M17" s="3" t="s">
        <v>36</v>
      </c>
      <c r="N17" s="3" t="s">
        <v>122</v>
      </c>
      <c r="O17" s="1" t="s">
        <v>120</v>
      </c>
      <c r="P17" s="9">
        <v>34.4</v>
      </c>
      <c r="Q17" s="10">
        <f t="shared" si="0"/>
        <v>-34.4</v>
      </c>
      <c r="R17" s="11">
        <v>0</v>
      </c>
      <c r="T17" t="s">
        <v>38</v>
      </c>
    </row>
    <row r="18" spans="1:20" ht="16" customHeight="1" x14ac:dyDescent="0.2">
      <c r="A18">
        <v>17</v>
      </c>
      <c r="B18" s="1">
        <v>69.67</v>
      </c>
      <c r="C18" s="1" t="s">
        <v>123</v>
      </c>
      <c r="D18" s="1" t="s">
        <v>124</v>
      </c>
      <c r="E18" s="1"/>
      <c r="F18" s="1" t="s">
        <v>119</v>
      </c>
      <c r="G18" s="1" t="s">
        <v>23</v>
      </c>
      <c r="H18" s="1">
        <v>3</v>
      </c>
      <c r="I18" s="1" t="s">
        <v>126</v>
      </c>
      <c r="J18" s="2" t="s">
        <v>26</v>
      </c>
      <c r="K18" s="3" t="s">
        <v>43</v>
      </c>
      <c r="L18" s="3" t="s">
        <v>127</v>
      </c>
      <c r="M18" s="3" t="s">
        <v>29</v>
      </c>
      <c r="N18" s="3" t="s">
        <v>128</v>
      </c>
      <c r="O18" s="1" t="s">
        <v>125</v>
      </c>
      <c r="P18" s="9">
        <v>43.85</v>
      </c>
      <c r="Q18" s="10">
        <f t="shared" si="0"/>
        <v>-43.85</v>
      </c>
      <c r="R18" s="11">
        <v>0</v>
      </c>
      <c r="T18" t="s">
        <v>45</v>
      </c>
    </row>
    <row r="19" spans="1:20" ht="16" customHeight="1" x14ac:dyDescent="0.2">
      <c r="A19">
        <v>18</v>
      </c>
      <c r="B19" s="1">
        <v>77.599999999999994</v>
      </c>
      <c r="C19" s="1" t="s">
        <v>129</v>
      </c>
      <c r="D19" s="1" t="s">
        <v>130</v>
      </c>
      <c r="E19" s="1"/>
      <c r="F19" s="1" t="s">
        <v>119</v>
      </c>
      <c r="G19" s="1" t="s">
        <v>23</v>
      </c>
      <c r="H19" s="1">
        <v>3</v>
      </c>
      <c r="I19" s="1" t="s">
        <v>132</v>
      </c>
      <c r="J19" s="2" t="s">
        <v>26</v>
      </c>
      <c r="K19" s="3" t="s">
        <v>43</v>
      </c>
      <c r="L19" s="3" t="s">
        <v>133</v>
      </c>
      <c r="M19" s="3" t="s">
        <v>29</v>
      </c>
      <c r="N19" s="3" t="s">
        <v>134</v>
      </c>
      <c r="O19" s="1" t="s">
        <v>131</v>
      </c>
      <c r="P19" s="9" t="s">
        <v>272</v>
      </c>
      <c r="Q19" s="10" t="s">
        <v>272</v>
      </c>
      <c r="R19" s="11" t="s">
        <v>272</v>
      </c>
      <c r="S19" t="s">
        <v>271</v>
      </c>
      <c r="T19" t="s">
        <v>38</v>
      </c>
    </row>
    <row r="20" spans="1:20" ht="16" customHeight="1" x14ac:dyDescent="0.2">
      <c r="A20">
        <v>19</v>
      </c>
      <c r="B20" s="1" t="s">
        <v>31</v>
      </c>
      <c r="C20" s="7" t="s">
        <v>51</v>
      </c>
      <c r="D20" s="1" t="s">
        <v>135</v>
      </c>
      <c r="E20" s="1"/>
      <c r="F20" s="1" t="s">
        <v>95</v>
      </c>
      <c r="G20" s="1" t="s">
        <v>23</v>
      </c>
      <c r="H20" s="1">
        <v>4</v>
      </c>
      <c r="I20" s="1" t="s">
        <v>137</v>
      </c>
      <c r="J20" s="2" t="s">
        <v>26</v>
      </c>
      <c r="K20" s="3" t="s">
        <v>27</v>
      </c>
      <c r="L20" s="6"/>
      <c r="M20" s="3" t="s">
        <v>36</v>
      </c>
      <c r="N20" s="3" t="s">
        <v>138</v>
      </c>
      <c r="O20" s="1" t="s">
        <v>136</v>
      </c>
      <c r="P20" s="9">
        <v>43.1</v>
      </c>
      <c r="Q20" s="10">
        <f t="shared" si="0"/>
        <v>-43.1</v>
      </c>
      <c r="R20" s="11">
        <v>0</v>
      </c>
      <c r="T20" t="s">
        <v>19</v>
      </c>
    </row>
    <row r="21" spans="1:20" ht="16" customHeight="1" x14ac:dyDescent="0.2">
      <c r="A21">
        <v>20</v>
      </c>
      <c r="B21" s="1" t="s">
        <v>31</v>
      </c>
      <c r="C21" s="1" t="s">
        <v>139</v>
      </c>
      <c r="D21" s="1" t="s">
        <v>140</v>
      </c>
      <c r="E21" s="1">
        <v>10259151</v>
      </c>
      <c r="F21" s="1" t="s">
        <v>84</v>
      </c>
      <c r="G21" s="1" t="s">
        <v>23</v>
      </c>
      <c r="H21" s="1">
        <v>4</v>
      </c>
      <c r="I21" s="1" t="s">
        <v>142</v>
      </c>
      <c r="J21" s="2" t="s">
        <v>26</v>
      </c>
      <c r="K21" s="3" t="s">
        <v>43</v>
      </c>
      <c r="L21" s="6"/>
      <c r="M21" s="3" t="s">
        <v>36</v>
      </c>
      <c r="N21" s="3" t="s">
        <v>143</v>
      </c>
      <c r="O21" s="1" t="s">
        <v>141</v>
      </c>
      <c r="P21" s="9">
        <v>42.85</v>
      </c>
      <c r="Q21" s="10">
        <f t="shared" si="0"/>
        <v>42.15</v>
      </c>
      <c r="R21" s="11">
        <v>85</v>
      </c>
      <c r="S21" t="s">
        <v>273</v>
      </c>
      <c r="T21" t="s">
        <v>19</v>
      </c>
    </row>
    <row r="22" spans="1:20" ht="16" customHeight="1" x14ac:dyDescent="0.2">
      <c r="A22">
        <v>21</v>
      </c>
      <c r="B22" s="1" t="s">
        <v>31</v>
      </c>
      <c r="C22" s="1" t="s">
        <v>144</v>
      </c>
      <c r="D22" s="1" t="s">
        <v>145</v>
      </c>
      <c r="E22" s="1"/>
      <c r="F22" s="1" t="s">
        <v>95</v>
      </c>
      <c r="G22" s="1" t="s">
        <v>23</v>
      </c>
      <c r="H22" s="1">
        <v>4</v>
      </c>
      <c r="I22" s="1" t="s">
        <v>147</v>
      </c>
      <c r="J22" s="2" t="s">
        <v>26</v>
      </c>
      <c r="K22" s="3" t="s">
        <v>43</v>
      </c>
      <c r="L22" s="6"/>
      <c r="M22" s="3" t="s">
        <v>36</v>
      </c>
      <c r="N22" s="3" t="s">
        <v>148</v>
      </c>
      <c r="O22" s="1" t="s">
        <v>146</v>
      </c>
      <c r="P22" s="9">
        <v>42.8</v>
      </c>
      <c r="Q22" s="10">
        <f t="shared" si="0"/>
        <v>45.5</v>
      </c>
      <c r="R22" s="11">
        <v>88.3</v>
      </c>
      <c r="T22" t="s">
        <v>19</v>
      </c>
    </row>
    <row r="23" spans="1:20" ht="16" customHeight="1" x14ac:dyDescent="0.2">
      <c r="A23">
        <v>22</v>
      </c>
      <c r="B23" s="1">
        <v>64.7</v>
      </c>
      <c r="C23" s="1" t="s">
        <v>149</v>
      </c>
      <c r="D23" s="1" t="s">
        <v>150</v>
      </c>
      <c r="E23" s="1">
        <v>10269156</v>
      </c>
      <c r="F23" s="1" t="s">
        <v>84</v>
      </c>
      <c r="G23" s="1" t="s">
        <v>23</v>
      </c>
      <c r="H23" s="1">
        <v>4</v>
      </c>
      <c r="I23" s="1" t="s">
        <v>152</v>
      </c>
      <c r="J23" s="2" t="s">
        <v>26</v>
      </c>
      <c r="K23" s="3" t="s">
        <v>43</v>
      </c>
      <c r="L23" s="3"/>
      <c r="M23" s="3" t="s">
        <v>36</v>
      </c>
      <c r="N23" s="3" t="s">
        <v>153</v>
      </c>
      <c r="O23" s="1" t="s">
        <v>151</v>
      </c>
      <c r="P23" s="9">
        <v>43.95</v>
      </c>
      <c r="Q23" s="10">
        <f t="shared" si="0"/>
        <v>44.599999999999994</v>
      </c>
      <c r="R23" s="11">
        <v>88.55</v>
      </c>
      <c r="T23" t="s">
        <v>19</v>
      </c>
    </row>
    <row r="24" spans="1:20" ht="16" customHeight="1" x14ac:dyDescent="0.2">
      <c r="A24">
        <v>23</v>
      </c>
      <c r="B24" s="1">
        <v>64.67</v>
      </c>
      <c r="C24" s="1" t="s">
        <v>154</v>
      </c>
      <c r="D24" s="1" t="s">
        <v>155</v>
      </c>
      <c r="E24" s="1"/>
      <c r="F24" s="1" t="s">
        <v>156</v>
      </c>
      <c r="G24" s="1" t="s">
        <v>23</v>
      </c>
      <c r="H24" s="1">
        <v>4</v>
      </c>
      <c r="I24" s="1" t="s">
        <v>158</v>
      </c>
      <c r="J24" s="2" t="s">
        <v>26</v>
      </c>
      <c r="K24" s="3" t="s">
        <v>43</v>
      </c>
      <c r="L24" s="3" t="s">
        <v>159</v>
      </c>
      <c r="M24" s="3" t="s">
        <v>99</v>
      </c>
      <c r="N24" s="3" t="s">
        <v>160</v>
      </c>
      <c r="O24" s="1" t="s">
        <v>157</v>
      </c>
      <c r="P24" s="9">
        <v>41.25</v>
      </c>
      <c r="Q24" s="10">
        <f t="shared" si="0"/>
        <v>43.25</v>
      </c>
      <c r="R24" s="11">
        <v>84.5</v>
      </c>
      <c r="S24" t="s">
        <v>275</v>
      </c>
      <c r="T24" t="s">
        <v>38</v>
      </c>
    </row>
    <row r="25" spans="1:20" ht="16" customHeight="1" x14ac:dyDescent="0.2">
      <c r="A25">
        <v>24</v>
      </c>
      <c r="B25" s="1" t="s">
        <v>31</v>
      </c>
      <c r="C25" s="5" t="s">
        <v>161</v>
      </c>
      <c r="D25" s="1" t="s">
        <v>162</v>
      </c>
      <c r="E25" s="1"/>
      <c r="F25" s="1" t="s">
        <v>156</v>
      </c>
      <c r="G25" s="1" t="s">
        <v>23</v>
      </c>
      <c r="H25" s="1">
        <v>4</v>
      </c>
      <c r="I25" s="1" t="s">
        <v>164</v>
      </c>
      <c r="J25" s="2" t="s">
        <v>26</v>
      </c>
      <c r="K25" s="3" t="s">
        <v>27</v>
      </c>
      <c r="L25" s="6"/>
      <c r="M25" s="3" t="s">
        <v>36</v>
      </c>
      <c r="N25" s="3" t="s">
        <v>165</v>
      </c>
      <c r="O25" s="1" t="s">
        <v>163</v>
      </c>
      <c r="P25" s="9">
        <v>41.5</v>
      </c>
      <c r="Q25" s="10">
        <f t="shared" si="0"/>
        <v>43.95</v>
      </c>
      <c r="R25" s="11">
        <v>85.45</v>
      </c>
      <c r="S25" t="s">
        <v>276</v>
      </c>
      <c r="T25" t="s">
        <v>45</v>
      </c>
    </row>
    <row r="26" spans="1:20" ht="16" customHeight="1" x14ac:dyDescent="0.2">
      <c r="A26">
        <v>25</v>
      </c>
      <c r="B26" s="1">
        <v>56.01</v>
      </c>
      <c r="C26" s="1" t="s">
        <v>166</v>
      </c>
      <c r="D26" s="1" t="s">
        <v>167</v>
      </c>
      <c r="E26" s="1">
        <v>10239182</v>
      </c>
      <c r="F26" s="1" t="s">
        <v>168</v>
      </c>
      <c r="G26" s="1" t="s">
        <v>23</v>
      </c>
      <c r="H26" s="1">
        <v>5</v>
      </c>
      <c r="I26" s="1" t="s">
        <v>170</v>
      </c>
      <c r="J26" s="2" t="s">
        <v>26</v>
      </c>
      <c r="K26" s="3" t="s">
        <v>27</v>
      </c>
      <c r="L26" s="3" t="s">
        <v>171</v>
      </c>
      <c r="M26" s="3" t="s">
        <v>99</v>
      </c>
      <c r="N26" s="3" t="s">
        <v>172</v>
      </c>
      <c r="O26" s="1" t="s">
        <v>169</v>
      </c>
      <c r="P26" s="9">
        <v>0</v>
      </c>
      <c r="Q26" s="10">
        <f t="shared" si="0"/>
        <v>0</v>
      </c>
      <c r="R26" s="11">
        <v>0</v>
      </c>
      <c r="T26" t="s">
        <v>19</v>
      </c>
    </row>
    <row r="27" spans="1:20" ht="16" customHeight="1" x14ac:dyDescent="0.2">
      <c r="A27">
        <v>26</v>
      </c>
      <c r="B27" s="1" t="s">
        <v>31</v>
      </c>
      <c r="C27" s="7" t="s">
        <v>51</v>
      </c>
      <c r="D27" s="1" t="s">
        <v>173</v>
      </c>
      <c r="E27" s="1">
        <v>10262517</v>
      </c>
      <c r="F27" s="1" t="s">
        <v>84</v>
      </c>
      <c r="G27" s="1" t="s">
        <v>23</v>
      </c>
      <c r="H27" s="1">
        <v>5</v>
      </c>
      <c r="I27" s="1" t="s">
        <v>175</v>
      </c>
      <c r="J27" s="2" t="s">
        <v>26</v>
      </c>
      <c r="K27" s="3" t="s">
        <v>43</v>
      </c>
      <c r="L27" s="6"/>
      <c r="M27" s="3" t="s">
        <v>36</v>
      </c>
      <c r="N27" s="3" t="s">
        <v>176</v>
      </c>
      <c r="O27" s="1" t="s">
        <v>174</v>
      </c>
      <c r="P27" s="9">
        <v>0</v>
      </c>
      <c r="Q27" s="10">
        <f t="shared" si="0"/>
        <v>0</v>
      </c>
      <c r="R27" s="11">
        <v>0</v>
      </c>
      <c r="T27" t="s">
        <v>45</v>
      </c>
    </row>
    <row r="28" spans="1:20" ht="16" customHeight="1" x14ac:dyDescent="0.2">
      <c r="A28">
        <v>27</v>
      </c>
      <c r="B28" s="8">
        <v>86.05</v>
      </c>
      <c r="C28" s="1" t="s">
        <v>177</v>
      </c>
      <c r="D28" s="1" t="s">
        <v>178</v>
      </c>
      <c r="E28" s="1"/>
      <c r="F28" s="1" t="s">
        <v>179</v>
      </c>
      <c r="G28" s="1" t="s">
        <v>23</v>
      </c>
      <c r="H28" s="1">
        <v>5</v>
      </c>
      <c r="I28" s="1" t="s">
        <v>181</v>
      </c>
      <c r="J28" s="2" t="s">
        <v>26</v>
      </c>
      <c r="K28" s="3" t="s">
        <v>43</v>
      </c>
      <c r="L28" s="3" t="s">
        <v>182</v>
      </c>
      <c r="M28" s="3" t="s">
        <v>29</v>
      </c>
      <c r="N28" s="3" t="s">
        <v>183</v>
      </c>
      <c r="O28" s="1" t="s">
        <v>180</v>
      </c>
      <c r="P28" s="9">
        <v>0</v>
      </c>
      <c r="Q28" s="10">
        <f t="shared" si="0"/>
        <v>0</v>
      </c>
      <c r="R28" s="11">
        <v>0</v>
      </c>
      <c r="T28" t="s">
        <v>38</v>
      </c>
    </row>
    <row r="29" spans="1:20" ht="16" customHeight="1" x14ac:dyDescent="0.2">
      <c r="A29">
        <v>28</v>
      </c>
      <c r="B29" s="1">
        <v>70.64</v>
      </c>
      <c r="C29" s="1" t="s">
        <v>184</v>
      </c>
      <c r="D29" s="1" t="s">
        <v>185</v>
      </c>
      <c r="E29" s="1"/>
      <c r="F29" s="1" t="s">
        <v>186</v>
      </c>
      <c r="G29" s="1" t="s">
        <v>23</v>
      </c>
      <c r="H29" s="1">
        <v>5</v>
      </c>
      <c r="I29" s="1" t="s">
        <v>188</v>
      </c>
      <c r="J29" s="2" t="s">
        <v>26</v>
      </c>
      <c r="K29" s="3" t="s">
        <v>27</v>
      </c>
      <c r="L29" s="3" t="s">
        <v>189</v>
      </c>
      <c r="M29" s="3" t="s">
        <v>99</v>
      </c>
      <c r="N29" s="3" t="s">
        <v>190</v>
      </c>
      <c r="O29" s="1" t="s">
        <v>187</v>
      </c>
      <c r="P29" s="9">
        <v>0</v>
      </c>
      <c r="Q29" s="10">
        <f t="shared" si="0"/>
        <v>0</v>
      </c>
      <c r="R29" s="11">
        <v>0</v>
      </c>
      <c r="T29" t="s">
        <v>45</v>
      </c>
    </row>
    <row r="30" spans="1:20" ht="16" customHeight="1" x14ac:dyDescent="0.2">
      <c r="A30">
        <v>29</v>
      </c>
      <c r="B30" s="1" t="s">
        <v>31</v>
      </c>
      <c r="C30" s="5" t="s">
        <v>161</v>
      </c>
      <c r="D30" s="1" t="s">
        <v>191</v>
      </c>
      <c r="E30" s="1"/>
      <c r="F30" s="1" t="s">
        <v>192</v>
      </c>
      <c r="G30" s="1" t="s">
        <v>23</v>
      </c>
      <c r="H30" s="1">
        <v>5</v>
      </c>
      <c r="I30" s="1" t="s">
        <v>194</v>
      </c>
      <c r="J30" s="2" t="s">
        <v>26</v>
      </c>
      <c r="K30" s="3" t="s">
        <v>27</v>
      </c>
      <c r="L30" s="6"/>
      <c r="M30" s="3" t="s">
        <v>36</v>
      </c>
      <c r="N30" s="3" t="s">
        <v>195</v>
      </c>
      <c r="O30" s="1" t="s">
        <v>193</v>
      </c>
      <c r="P30" s="9">
        <v>0</v>
      </c>
      <c r="Q30" s="10">
        <f t="shared" si="0"/>
        <v>0</v>
      </c>
      <c r="R30" s="11">
        <v>0</v>
      </c>
      <c r="T30" t="s">
        <v>45</v>
      </c>
    </row>
    <row r="31" spans="1:20" ht="16" customHeight="1" x14ac:dyDescent="0.2">
      <c r="A31">
        <v>30</v>
      </c>
      <c r="B31" s="1" t="s">
        <v>31</v>
      </c>
      <c r="C31" s="1" t="s">
        <v>39</v>
      </c>
      <c r="D31" s="1" t="s">
        <v>196</v>
      </c>
      <c r="E31" s="1"/>
      <c r="F31" s="1" t="s">
        <v>53</v>
      </c>
      <c r="G31" s="1" t="s">
        <v>23</v>
      </c>
      <c r="H31" s="1">
        <v>6</v>
      </c>
      <c r="I31" s="1" t="s">
        <v>198</v>
      </c>
      <c r="J31" s="2" t="s">
        <v>26</v>
      </c>
      <c r="K31" s="3" t="s">
        <v>27</v>
      </c>
      <c r="L31" s="6"/>
      <c r="M31" s="3" t="s">
        <v>36</v>
      </c>
      <c r="N31" s="3" t="s">
        <v>199</v>
      </c>
      <c r="O31" s="1" t="s">
        <v>197</v>
      </c>
      <c r="P31" s="9">
        <v>0</v>
      </c>
      <c r="Q31" s="10">
        <f t="shared" si="0"/>
        <v>0</v>
      </c>
      <c r="R31" s="11">
        <v>0</v>
      </c>
      <c r="T31" t="s">
        <v>38</v>
      </c>
    </row>
    <row r="32" spans="1:20" ht="16" customHeight="1" x14ac:dyDescent="0.2">
      <c r="A32">
        <v>31</v>
      </c>
      <c r="B32" s="1" t="s">
        <v>31</v>
      </c>
      <c r="C32" s="1" t="s">
        <v>200</v>
      </c>
      <c r="D32" s="1" t="s">
        <v>201</v>
      </c>
      <c r="E32" s="1">
        <v>10266753</v>
      </c>
      <c r="F32" s="1" t="s">
        <v>71</v>
      </c>
      <c r="G32" s="1" t="s">
        <v>23</v>
      </c>
      <c r="H32" s="1">
        <v>6</v>
      </c>
      <c r="I32" s="1" t="s">
        <v>203</v>
      </c>
      <c r="J32" s="2" t="s">
        <v>26</v>
      </c>
      <c r="K32" s="3" t="s">
        <v>43</v>
      </c>
      <c r="L32" s="6"/>
      <c r="M32" s="3" t="s">
        <v>36</v>
      </c>
      <c r="N32" s="3" t="s">
        <v>204</v>
      </c>
      <c r="O32" s="1" t="s">
        <v>202</v>
      </c>
      <c r="P32" s="9">
        <v>0</v>
      </c>
      <c r="Q32" s="10">
        <f t="shared" si="0"/>
        <v>0</v>
      </c>
      <c r="R32" s="11">
        <v>0</v>
      </c>
      <c r="T32" t="s">
        <v>19</v>
      </c>
    </row>
    <row r="33" spans="1:20" ht="16" customHeight="1" x14ac:dyDescent="0.2">
      <c r="A33">
        <v>32</v>
      </c>
      <c r="B33" s="8">
        <v>89.52</v>
      </c>
      <c r="C33" s="1" t="s">
        <v>205</v>
      </c>
      <c r="D33" s="1" t="s">
        <v>206</v>
      </c>
      <c r="E33" s="1">
        <v>10203017</v>
      </c>
      <c r="F33" s="1" t="s">
        <v>179</v>
      </c>
      <c r="G33" s="1" t="s">
        <v>23</v>
      </c>
      <c r="H33" s="1">
        <v>6</v>
      </c>
      <c r="I33" s="1" t="s">
        <v>208</v>
      </c>
      <c r="J33" s="2" t="s">
        <v>26</v>
      </c>
      <c r="K33" s="3" t="s">
        <v>43</v>
      </c>
      <c r="L33" s="3" t="s">
        <v>209</v>
      </c>
      <c r="M33" s="3" t="s">
        <v>99</v>
      </c>
      <c r="N33" s="3" t="s">
        <v>210</v>
      </c>
      <c r="O33" s="1" t="s">
        <v>207</v>
      </c>
      <c r="P33" s="9">
        <v>0</v>
      </c>
      <c r="Q33" s="10">
        <f t="shared" si="0"/>
        <v>0</v>
      </c>
      <c r="R33" s="11">
        <v>0</v>
      </c>
      <c r="T33" t="s">
        <v>38</v>
      </c>
    </row>
    <row r="34" spans="1:20" ht="16" customHeight="1" x14ac:dyDescent="0.2">
      <c r="A34">
        <v>33</v>
      </c>
      <c r="B34" s="1">
        <v>74.709999999999994</v>
      </c>
      <c r="C34" s="1" t="s">
        <v>211</v>
      </c>
      <c r="D34" s="1" t="s">
        <v>212</v>
      </c>
      <c r="E34" s="1"/>
      <c r="F34" s="1" t="s">
        <v>22</v>
      </c>
      <c r="G34" s="1" t="s">
        <v>23</v>
      </c>
      <c r="H34" s="1">
        <v>6</v>
      </c>
      <c r="I34" s="1" t="s">
        <v>214</v>
      </c>
      <c r="J34" s="2" t="s">
        <v>26</v>
      </c>
      <c r="K34" s="3" t="s">
        <v>43</v>
      </c>
      <c r="L34" s="3" t="s">
        <v>215</v>
      </c>
      <c r="M34" s="3" t="s">
        <v>99</v>
      </c>
      <c r="N34" s="3" t="s">
        <v>216</v>
      </c>
      <c r="O34" s="1" t="s">
        <v>213</v>
      </c>
      <c r="P34" s="9">
        <v>0</v>
      </c>
      <c r="Q34" s="10">
        <f t="shared" si="0"/>
        <v>0</v>
      </c>
      <c r="R34" s="11">
        <v>0</v>
      </c>
      <c r="T34" t="s">
        <v>45</v>
      </c>
    </row>
    <row r="35" spans="1:20" ht="16" customHeight="1" x14ac:dyDescent="0.2">
      <c r="A35">
        <v>34</v>
      </c>
      <c r="B35" s="1" t="s">
        <v>31</v>
      </c>
      <c r="C35" s="1" t="s">
        <v>217</v>
      </c>
      <c r="D35" s="1" t="s">
        <v>218</v>
      </c>
      <c r="E35" s="1"/>
      <c r="F35" s="1" t="s">
        <v>192</v>
      </c>
      <c r="G35" s="1" t="s">
        <v>23</v>
      </c>
      <c r="H35" s="1">
        <v>7</v>
      </c>
      <c r="I35" s="1" t="s">
        <v>220</v>
      </c>
      <c r="J35" s="2" t="s">
        <v>26</v>
      </c>
      <c r="K35" s="3" t="s">
        <v>43</v>
      </c>
      <c r="L35" s="3" t="s">
        <v>215</v>
      </c>
      <c r="M35" s="3" t="s">
        <v>99</v>
      </c>
      <c r="N35" s="3" t="s">
        <v>216</v>
      </c>
      <c r="O35" s="1" t="s">
        <v>219</v>
      </c>
      <c r="P35" s="9">
        <v>0</v>
      </c>
      <c r="Q35" s="10">
        <f t="shared" si="0"/>
        <v>0</v>
      </c>
      <c r="R35" s="11">
        <v>0</v>
      </c>
      <c r="T35" t="s">
        <v>38</v>
      </c>
    </row>
    <row r="36" spans="1:20" ht="16" customHeight="1" x14ac:dyDescent="0.2">
      <c r="A36">
        <v>35</v>
      </c>
      <c r="B36" s="1" t="s">
        <v>31</v>
      </c>
      <c r="C36" s="5" t="s">
        <v>161</v>
      </c>
      <c r="D36" s="1" t="s">
        <v>221</v>
      </c>
      <c r="E36" s="1"/>
      <c r="F36" s="1" t="s">
        <v>84</v>
      </c>
      <c r="G36" s="1" t="s">
        <v>23</v>
      </c>
      <c r="H36" s="1">
        <v>7</v>
      </c>
      <c r="I36" s="1" t="s">
        <v>223</v>
      </c>
      <c r="J36" s="2" t="s">
        <v>26</v>
      </c>
      <c r="K36" s="3" t="s">
        <v>43</v>
      </c>
      <c r="L36" s="6"/>
      <c r="M36" s="3" t="s">
        <v>36</v>
      </c>
      <c r="N36" s="3" t="s">
        <v>224</v>
      </c>
      <c r="O36" s="1" t="s">
        <v>222</v>
      </c>
      <c r="P36" s="9">
        <v>0</v>
      </c>
      <c r="Q36" s="10">
        <f t="shared" si="0"/>
        <v>0</v>
      </c>
      <c r="R36" s="11">
        <v>0</v>
      </c>
      <c r="T36" t="s">
        <v>38</v>
      </c>
    </row>
    <row r="37" spans="1:20" ht="16" customHeight="1" x14ac:dyDescent="0.2">
      <c r="A37">
        <v>36</v>
      </c>
      <c r="B37" s="8">
        <v>81.430000000000007</v>
      </c>
      <c r="C37" s="1" t="s">
        <v>225</v>
      </c>
      <c r="D37" s="1" t="s">
        <v>226</v>
      </c>
      <c r="E37" s="1">
        <v>10243244</v>
      </c>
      <c r="F37" s="1" t="s">
        <v>119</v>
      </c>
      <c r="G37" s="1" t="s">
        <v>23</v>
      </c>
      <c r="H37" s="1">
        <v>8</v>
      </c>
      <c r="I37" s="1" t="s">
        <v>228</v>
      </c>
      <c r="J37" s="2" t="s">
        <v>26</v>
      </c>
      <c r="K37" s="3" t="s">
        <v>43</v>
      </c>
      <c r="L37" s="3" t="s">
        <v>229</v>
      </c>
      <c r="M37" s="3" t="s">
        <v>99</v>
      </c>
      <c r="N37" s="3" t="s">
        <v>230</v>
      </c>
      <c r="O37" s="1" t="s">
        <v>227</v>
      </c>
      <c r="P37" s="9">
        <v>0</v>
      </c>
      <c r="Q37" s="10">
        <f t="shared" si="0"/>
        <v>0</v>
      </c>
      <c r="R37" s="11">
        <v>0</v>
      </c>
      <c r="T37" t="s">
        <v>45</v>
      </c>
    </row>
    <row r="38" spans="1:20" ht="16" customHeight="1" x14ac:dyDescent="0.2">
      <c r="A38">
        <v>37</v>
      </c>
      <c r="B38" s="1" t="s">
        <v>31</v>
      </c>
      <c r="C38" s="7" t="s">
        <v>51</v>
      </c>
      <c r="D38" s="1" t="s">
        <v>231</v>
      </c>
      <c r="E38" s="1">
        <v>10268368</v>
      </c>
      <c r="F38" s="1" t="s">
        <v>84</v>
      </c>
      <c r="G38" s="1" t="s">
        <v>23</v>
      </c>
      <c r="H38" s="1">
        <v>8</v>
      </c>
      <c r="I38" s="1" t="s">
        <v>233</v>
      </c>
      <c r="J38" s="2" t="s">
        <v>26</v>
      </c>
      <c r="K38" s="3" t="s">
        <v>43</v>
      </c>
      <c r="L38" s="6"/>
      <c r="M38" s="3" t="s">
        <v>36</v>
      </c>
      <c r="N38" s="3" t="s">
        <v>234</v>
      </c>
      <c r="O38" s="1" t="s">
        <v>232</v>
      </c>
      <c r="P38" s="9">
        <v>0</v>
      </c>
      <c r="Q38" s="10">
        <f t="shared" si="0"/>
        <v>0</v>
      </c>
      <c r="R38" s="11">
        <v>0</v>
      </c>
      <c r="T38" t="s">
        <v>45</v>
      </c>
    </row>
    <row r="39" spans="1:20" ht="16" customHeight="1" x14ac:dyDescent="0.2">
      <c r="A39">
        <v>38</v>
      </c>
      <c r="B39" s="1">
        <v>57.96</v>
      </c>
      <c r="C39" s="1" t="s">
        <v>235</v>
      </c>
      <c r="D39" s="1" t="s">
        <v>236</v>
      </c>
      <c r="E39" s="1">
        <v>10239944</v>
      </c>
      <c r="F39" s="1" t="s">
        <v>237</v>
      </c>
      <c r="G39" s="1" t="s">
        <v>23</v>
      </c>
      <c r="H39" s="1">
        <v>8</v>
      </c>
      <c r="I39" s="1" t="s">
        <v>239</v>
      </c>
      <c r="J39" s="2" t="s">
        <v>26</v>
      </c>
      <c r="K39" s="3" t="s">
        <v>27</v>
      </c>
      <c r="L39" s="3" t="s">
        <v>240</v>
      </c>
      <c r="M39" s="3" t="s">
        <v>29</v>
      </c>
      <c r="N39" s="3" t="s">
        <v>241</v>
      </c>
      <c r="O39" s="1" t="s">
        <v>238</v>
      </c>
      <c r="P39" s="9">
        <v>0</v>
      </c>
      <c r="Q39" s="10">
        <f t="shared" si="0"/>
        <v>0</v>
      </c>
      <c r="R39" s="11">
        <v>0</v>
      </c>
      <c r="T39" t="s">
        <v>45</v>
      </c>
    </row>
    <row r="40" spans="1:20" ht="16" customHeight="1" x14ac:dyDescent="0.2">
      <c r="A40">
        <v>39</v>
      </c>
      <c r="B40" s="1">
        <v>70.33</v>
      </c>
      <c r="C40" s="1" t="s">
        <v>242</v>
      </c>
      <c r="D40" s="1" t="s">
        <v>243</v>
      </c>
      <c r="E40" s="1"/>
      <c r="F40" s="1" t="s">
        <v>237</v>
      </c>
      <c r="G40" s="1" t="s">
        <v>23</v>
      </c>
      <c r="H40" s="1">
        <v>8</v>
      </c>
      <c r="I40" s="1" t="s">
        <v>245</v>
      </c>
      <c r="J40" s="2" t="s">
        <v>26</v>
      </c>
      <c r="K40" s="3" t="s">
        <v>27</v>
      </c>
      <c r="L40" s="3"/>
      <c r="M40" s="3" t="s">
        <v>36</v>
      </c>
      <c r="N40" s="3" t="s">
        <v>246</v>
      </c>
      <c r="O40" s="1" t="s">
        <v>244</v>
      </c>
      <c r="P40" s="9">
        <v>0</v>
      </c>
      <c r="Q40" s="10">
        <f t="shared" si="0"/>
        <v>0</v>
      </c>
      <c r="R40" s="11">
        <v>0</v>
      </c>
      <c r="T40" t="s">
        <v>19</v>
      </c>
    </row>
    <row r="41" spans="1:20" ht="16" customHeight="1" x14ac:dyDescent="0.2">
      <c r="A41">
        <v>40</v>
      </c>
      <c r="B41" s="8">
        <v>86.7</v>
      </c>
      <c r="C41" s="1" t="s">
        <v>247</v>
      </c>
      <c r="D41" s="1" t="s">
        <v>248</v>
      </c>
      <c r="E41" s="1">
        <v>10222050</v>
      </c>
      <c r="F41" s="1" t="s">
        <v>249</v>
      </c>
      <c r="G41" s="1" t="s">
        <v>23</v>
      </c>
      <c r="H41" s="1">
        <v>9</v>
      </c>
      <c r="I41" s="1" t="s">
        <v>251</v>
      </c>
      <c r="J41" s="2" t="s">
        <v>26</v>
      </c>
      <c r="K41" s="3" t="s">
        <v>27</v>
      </c>
      <c r="L41" s="3" t="s">
        <v>252</v>
      </c>
      <c r="M41" s="3" t="s">
        <v>99</v>
      </c>
      <c r="N41" s="3" t="s">
        <v>253</v>
      </c>
      <c r="O41" s="1" t="s">
        <v>250</v>
      </c>
      <c r="P41" s="9">
        <v>0</v>
      </c>
      <c r="Q41" s="10">
        <f t="shared" si="0"/>
        <v>0</v>
      </c>
      <c r="R41" s="11">
        <v>0</v>
      </c>
      <c r="T41" t="s">
        <v>38</v>
      </c>
    </row>
    <row r="42" spans="1:20" ht="16" customHeight="1" x14ac:dyDescent="0.2">
      <c r="A42">
        <v>41</v>
      </c>
      <c r="B42" s="1" t="s">
        <v>31</v>
      </c>
      <c r="C42" s="5" t="s">
        <v>32</v>
      </c>
      <c r="D42" s="1" t="s">
        <v>254</v>
      </c>
      <c r="E42" s="1">
        <v>10274756</v>
      </c>
      <c r="F42" s="1" t="s">
        <v>53</v>
      </c>
      <c r="G42" s="1" t="s">
        <v>23</v>
      </c>
      <c r="H42" s="1">
        <v>9</v>
      </c>
      <c r="I42" s="1" t="s">
        <v>256</v>
      </c>
      <c r="J42" s="2" t="s">
        <v>26</v>
      </c>
      <c r="K42" s="3" t="s">
        <v>27</v>
      </c>
      <c r="L42" s="6"/>
      <c r="M42" s="3" t="s">
        <v>36</v>
      </c>
      <c r="N42" s="3" t="s">
        <v>257</v>
      </c>
      <c r="O42" s="1" t="s">
        <v>255</v>
      </c>
      <c r="P42" s="9">
        <v>0</v>
      </c>
      <c r="Q42" s="10">
        <f t="shared" si="0"/>
        <v>0</v>
      </c>
      <c r="R42" s="11">
        <v>0</v>
      </c>
      <c r="T42" t="s">
        <v>45</v>
      </c>
    </row>
    <row r="43" spans="1:20" ht="16" customHeight="1" x14ac:dyDescent="0.2">
      <c r="A43">
        <v>42</v>
      </c>
      <c r="B43" s="1">
        <v>52.8</v>
      </c>
      <c r="C43" s="1" t="s">
        <v>258</v>
      </c>
      <c r="D43" s="1" t="s">
        <v>259</v>
      </c>
      <c r="E43" s="1"/>
      <c r="F43" s="1" t="s">
        <v>237</v>
      </c>
      <c r="G43" s="1" t="s">
        <v>23</v>
      </c>
      <c r="H43" s="1">
        <v>9</v>
      </c>
      <c r="I43" s="1" t="s">
        <v>261</v>
      </c>
      <c r="J43" s="2" t="s">
        <v>26</v>
      </c>
      <c r="K43" s="3" t="s">
        <v>43</v>
      </c>
      <c r="L43" s="3" t="s">
        <v>262</v>
      </c>
      <c r="M43" s="3" t="s">
        <v>99</v>
      </c>
      <c r="N43" s="3" t="s">
        <v>263</v>
      </c>
      <c r="O43" s="1" t="s">
        <v>260</v>
      </c>
      <c r="P43" s="9">
        <v>0</v>
      </c>
      <c r="Q43" s="10">
        <f t="shared" si="0"/>
        <v>0</v>
      </c>
      <c r="R43" s="11">
        <v>0</v>
      </c>
      <c r="T43" t="s">
        <v>19</v>
      </c>
    </row>
    <row r="44" spans="1:20" ht="16" customHeight="1" x14ac:dyDescent="0.2">
      <c r="A44">
        <v>43</v>
      </c>
      <c r="B44" s="1">
        <v>65.78</v>
      </c>
      <c r="C44" s="1" t="s">
        <v>264</v>
      </c>
      <c r="D44" s="1" t="s">
        <v>265</v>
      </c>
      <c r="E44" s="1">
        <v>10258756</v>
      </c>
      <c r="F44" s="1" t="s">
        <v>95</v>
      </c>
      <c r="G44" s="1" t="s">
        <v>23</v>
      </c>
      <c r="H44" s="1">
        <v>9</v>
      </c>
      <c r="I44" s="1" t="s">
        <v>267</v>
      </c>
      <c r="J44" s="2" t="s">
        <v>26</v>
      </c>
      <c r="K44" s="3" t="s">
        <v>27</v>
      </c>
      <c r="L44" s="3" t="s">
        <v>268</v>
      </c>
      <c r="M44" s="3" t="s">
        <v>29</v>
      </c>
      <c r="N44" s="3" t="s">
        <v>269</v>
      </c>
      <c r="O44" s="1" t="s">
        <v>266</v>
      </c>
      <c r="P44" s="9">
        <v>0</v>
      </c>
      <c r="Q44" s="10">
        <f t="shared" si="0"/>
        <v>0</v>
      </c>
      <c r="R44" s="11">
        <v>0</v>
      </c>
      <c r="T44" t="s">
        <v>19</v>
      </c>
    </row>
  </sheetData>
  <hyperlinks>
    <hyperlink ref="J2" r:id="rId1" display="https://probullstats.com/loggers/matchup.php?bull=52839&amp;guy=Jess+Lockwood" xr:uid="{F970B9C6-9BCD-5E46-AA4F-71F0EACB3924}"/>
    <hyperlink ref="J3" r:id="rId2" display="https://probullstats.com/loggers/matchup.php?bull=56214&amp;guy=Kase+Hitt" xr:uid="{F506C8E8-40E1-964F-B9DA-D7FE929F019A}"/>
    <hyperlink ref="J4" r:id="rId3" display="https://probullstats.com/loggers/matchup.php?bull=56035&amp;guy=Julio+Cesar+Marques" xr:uid="{053518A0-6349-4744-95DE-41EFA4861A41}"/>
    <hyperlink ref="J5" r:id="rId4" display="https://probullstats.com/loggers/matchup.php?bull=55806&amp;guy=Kaiden+Loud" xr:uid="{8C7DDD88-3D1A-C94E-923A-DA0DBC8146AD}"/>
    <hyperlink ref="J6" r:id="rId5" display="https://probullstats.com/loggers/matchup.php?bull=56540&amp;guy=Mauricio+Gulla+Moreira" xr:uid="{FD7D6547-2C8C-2840-A167-738CAB9A832C}"/>
    <hyperlink ref="J7" r:id="rId6" display="https://probullstats.com/loggers/matchup.php?bull=48948&amp;guy=Bob+Mitchell" xr:uid="{F0059777-5DFE-F946-AC6B-1EDDB6C3D6AF}"/>
    <hyperlink ref="J8" r:id="rId7" display="https://probullstats.com/loggers/matchup.php?bull=54839&amp;guy=Keyshawn+Whitehorse" xr:uid="{B26D7B4B-123C-0149-ADFC-45AB02B58CFD}"/>
    <hyperlink ref="J9" r:id="rId8" display="https://probullstats.com/loggers/matchup.php?bull=53968&amp;guy=Manoelito+de+Souza+Junior" xr:uid="{569F14A1-459F-2244-90DC-CB697A4D3339}"/>
    <hyperlink ref="J10" r:id="rId9" display="https://probullstats.com/loggers/matchup.php?bull=53970&amp;guy=Leandro+Zampollo" xr:uid="{1F2BFB5A-99B7-9846-A2AC-C3775B994DBD}"/>
    <hyperlink ref="J11" r:id="rId10" display="https://probullstats.com/loggers/matchup.php?bull=56046&amp;guy=Paulo+Eduardo+Rossetto" xr:uid="{6DB243E9-BFED-B842-B9FC-F6B37C950BA1}"/>
    <hyperlink ref="J12" r:id="rId11" display="https://probullstats.com/loggers/matchup.php?bull=54711&amp;guy=Alex+Cerqueira" xr:uid="{6008F3BA-B37C-924B-8487-8673B80C5062}"/>
    <hyperlink ref="J13" r:id="rId12" display="https://probullstats.com/loggers/matchup.php?bull=47944&amp;guy=Luciano+De+Castro" xr:uid="{9267FA7D-248E-B34C-8C38-7BE0A78E8AEA}"/>
    <hyperlink ref="J14" r:id="rId13" display="https://probullstats.com/loggers/matchup.php?bull=54869&amp;guy=Maverick+Smith" xr:uid="{D678A161-F7D7-2F41-B2E8-5D745A686CC6}"/>
    <hyperlink ref="J15" r:id="rId14" display="https://probullstats.com/loggers/matchup.php?bull=52181&amp;guy=Hudson+Bolton" xr:uid="{AD073728-5785-1A4F-A08B-4B96F315C8A4}"/>
    <hyperlink ref="J16" r:id="rId15" display="https://probullstats.com/loggers/matchup.php?bull=52572&amp;guy=Alex+Junior+da+Silva" xr:uid="{7E120FEA-998C-D94A-9898-25668BC671E8}"/>
    <hyperlink ref="J17" r:id="rId16" display="https://probullstats.com/loggers/matchup.php?bull=55061&amp;guy=Bruno+Carvalho" xr:uid="{0556D485-6D01-CC4C-87EB-623E88F2E932}"/>
    <hyperlink ref="J18" r:id="rId17" display="https://probullstats.com/loggers/matchup.php?bull=54896&amp;guy=Mason+Taylor" xr:uid="{4D30E132-8232-7C42-9CD6-B9669F98DF66}"/>
    <hyperlink ref="J19" r:id="rId18" display="https://probullstats.com/loggers/matchup.php?bull=52731&amp;guy=Marco+Rizzo" xr:uid="{1266D028-E5E7-0146-B7F2-D84A3EB2D983}"/>
    <hyperlink ref="J20" r:id="rId19" display="https://probullstats.com/loggers/matchup.php?bull=56541&amp;guy=John+Crimber" xr:uid="{B409839B-8FC2-804B-92CB-C6EB4D712DA3}"/>
    <hyperlink ref="J21" r:id="rId20" display="https://probullstats.com/loggers/matchup.php?bull=55423&amp;guy=Eduardo+Aparecido" xr:uid="{581E78AC-8306-9D44-B916-342AC1D9626F}"/>
    <hyperlink ref="J22" r:id="rId21" display="https://probullstats.com/loggers/matchup.php?bull=55889&amp;guy=Brady+Fielder" xr:uid="{325C0132-97EC-AB4C-9652-5EB81533072B}"/>
    <hyperlink ref="J23" r:id="rId22" display="https://probullstats.com/loggers/matchup.php?bull=55691&amp;guy=Claudio+Montanha+Jr." xr:uid="{7CD20EF3-9BDD-5748-87FB-A8B4A3E49BDB}"/>
    <hyperlink ref="J24" r:id="rId23" display="https://probullstats.com/loggers/matchup.php?bull=50890&amp;guy=Trace+Redd" xr:uid="{2C05EFFD-59C7-DC42-AE87-3CEB6B55C7DD}"/>
    <hyperlink ref="J25" r:id="rId24" display="https://probullstats.com/loggers/matchup.php?bull=56045&amp;guy=Daniel+Keeping" xr:uid="{469A118B-00C6-4B49-B5C6-A3C6C9B15ACC}"/>
    <hyperlink ref="J26" r:id="rId25" display="https://probullstats.com/loggers/matchup.php?bull=52122&amp;guy=Jose+Vitor+Leme" xr:uid="{3C3E0CC1-BD10-3B44-ADAF-07E4338402BA}"/>
    <hyperlink ref="J27" r:id="rId26" display="https://probullstats.com/loggers/matchup.php?bull=56542&amp;guy=Cort+McFadden" xr:uid="{129071F9-1177-4340-9B59-0E2D000E9C69}"/>
    <hyperlink ref="J28" r:id="rId27" display="https://probullstats.com/loggers/matchup.php?bull=45407&amp;guy=Jadon+Hayes" xr:uid="{963E5A5A-6D28-2349-935F-133EDC8262EA}"/>
    <hyperlink ref="J29" r:id="rId28" display="https://probullstats.com/loggers/matchup.php?bull=48463&amp;guy=Joao+Ricardo+Vieira" xr:uid="{9ACEEFE7-F7D3-7E4A-9BF5-24143405AFA1}"/>
    <hyperlink ref="J30" r:id="rId29" display="https://probullstats.com/loggers/matchup.php?bull=53635&amp;guy=Macaulie+Leather" xr:uid="{B697B491-58DB-4B4B-8562-9AB358049F51}"/>
    <hyperlink ref="J31" r:id="rId30" display="https://probullstats.com/loggers/matchup.php?bull=56345&amp;guy=Natanael+Serra+Aires" xr:uid="{0BCBF768-93D3-8F43-8AD5-206A7FB3B833}"/>
    <hyperlink ref="J32" r:id="rId31" display="https://probullstats.com/loggers/matchup.php?bull=55084&amp;guy=Sage+Kimzey" xr:uid="{D66640D7-CE04-A640-86B0-643111985C5C}"/>
    <hyperlink ref="J33" r:id="rId32" display="https://probullstats.com/loggers/matchup.php?bull=43263&amp;guy=Eric+Henrique+Domingos" xr:uid="{716167A1-FB1B-D243-A41C-5B4ADE29A6E6}"/>
    <hyperlink ref="J34" r:id="rId33" display="https://probullstats.com/loggers/matchup.php?bull=50683&amp;guy=Kaique+Pacheco" xr:uid="{180B9CC1-DC3C-A947-96FF-6EB1A3EB77CB}"/>
    <hyperlink ref="J35" r:id="rId34" display="https://probullstats.com/loggers/matchup.php?bull=53634&amp;guy=Marcelo+De+Souza+Dias+Junior" xr:uid="{0BB40081-B139-2F4C-B0A3-9745E426BEAF}"/>
    <hyperlink ref="J36" r:id="rId35" display="https://probullstats.com/loggers/matchup.php?bull=55693&amp;guy=Callum+Miller" xr:uid="{2A7095C3-9A96-904C-8825-FDD5D393F760}"/>
    <hyperlink ref="J37" r:id="rId36" display="https://probullstats.com/loggers/matchup.php?bull=52004&amp;guy=Bruno+Roberto" xr:uid="{2A512A64-74CA-7246-911B-43D2ADA4C788}"/>
    <hyperlink ref="J38" r:id="rId37" display="https://probullstats.com/loggers/matchup.php?bull=56543&amp;guy=Lucas+Divino" xr:uid="{74303718-CC19-714D-B767-E9BF6F270DFC}"/>
    <hyperlink ref="J39" r:id="rId38" display="https://probullstats.com/loggers/matchup.php?bull=47812&amp;guy=Andy+Guzman" xr:uid="{BCB8E763-7EFC-C64A-A714-03EAC79C3956}"/>
    <hyperlink ref="J40" r:id="rId39" display="https://probullstats.com/loggers/matchup.php?bull=52618&amp;guy=Dener+Barbosa" xr:uid="{094DB341-E704-864E-ABEE-F20088B176D7}"/>
    <hyperlink ref="J41" r:id="rId40" display="https://probullstats.com/loggers/matchup.php?bull=47325&amp;guy=Koltin+Hevalow" xr:uid="{0A517EBE-BEF9-0B49-A775-5E7D09C557BE}"/>
    <hyperlink ref="J42" r:id="rId41" display="https://probullstats.com/loggers/matchup.php?bull=56319&amp;guy=Vinicius+Pinheiro+Correa" xr:uid="{7DAB5BE5-3791-D249-A50F-F3D91CAD6DA7}"/>
    <hyperlink ref="J43" r:id="rId42" display="https://probullstats.com/loggers/matchup.php?bull=52178&amp;guy=Cassio+Dias" xr:uid="{3D7C6384-160B-8A48-A29D-CB20A28B4E76}"/>
    <hyperlink ref="J44" r:id="rId43" display="https://probullstats.com/loggers/matchup.php?bull=54035&amp;guy=Dalton+Kasel" xr:uid="{0EDD66C9-F792-EC45-A24C-1F3BD6F4063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Billings Day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Jordan Young</dc:creator>
  <cp:lastModifiedBy>Cameron Jordan Young</cp:lastModifiedBy>
  <dcterms:created xsi:type="dcterms:W3CDTF">2026-04-17T18:16:05Z</dcterms:created>
  <dcterms:modified xsi:type="dcterms:W3CDTF">2026-04-18T02:19:04Z</dcterms:modified>
</cp:coreProperties>
</file>